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9334430F-92D4-4858-96CB-0482C71C3E2F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5" i="82" l="1"/>
  <c r="AR14" i="82"/>
  <c r="AQ15" i="82"/>
  <c r="AQ14" i="82"/>
  <c r="AP15" i="82"/>
  <c r="AP14" i="82"/>
  <c r="AN15" i="82"/>
  <c r="AN14" i="82"/>
  <c r="AM15" i="82"/>
  <c r="AM14" i="82"/>
  <c r="AL15" i="82"/>
  <c r="AL14" i="82"/>
  <c r="AJ15" i="82"/>
  <c r="AJ14" i="82"/>
  <c r="AI15" i="82"/>
  <c r="AI14" i="82"/>
  <c r="AH15" i="82"/>
  <c r="AH14" i="82"/>
  <c r="AF15" i="82"/>
  <c r="AF14" i="82"/>
  <c r="AE15" i="82"/>
  <c r="AE14" i="82"/>
  <c r="AD15" i="82"/>
  <c r="AD14" i="82"/>
  <c r="AA15" i="82"/>
  <c r="AA14" i="82"/>
  <c r="Z15" i="82"/>
  <c r="Z14" i="82"/>
  <c r="Y15" i="82"/>
  <c r="Y14" i="82"/>
  <c r="X15" i="82"/>
  <c r="X14" i="82"/>
  <c r="W15" i="82"/>
  <c r="W14" i="82"/>
  <c r="S15" i="82"/>
  <c r="S14" i="82"/>
  <c r="R15" i="82"/>
  <c r="R14" i="82"/>
  <c r="Q15" i="82"/>
  <c r="Q14" i="82"/>
  <c r="N15" i="82"/>
  <c r="N14" i="82"/>
  <c r="M15" i="82"/>
  <c r="M14" i="82"/>
  <c r="J15" i="82"/>
  <c r="J14" i="82"/>
  <c r="F15" i="82"/>
  <c r="F14" i="82"/>
  <c r="E15" i="82"/>
  <c r="E14" i="82"/>
  <c r="AR12" i="82"/>
  <c r="AP12" i="82"/>
  <c r="AM12" i="82"/>
  <c r="AJ12" i="82"/>
  <c r="AH12" i="82"/>
  <c r="AE12" i="82"/>
  <c r="AA12" i="82"/>
  <c r="Y12" i="82"/>
  <c r="W12" i="82"/>
  <c r="R12" i="82"/>
  <c r="N12" i="82"/>
  <c r="J12" i="82"/>
  <c r="E12" i="82"/>
  <c r="AR10" i="82"/>
  <c r="AR16" i="82" s="1"/>
  <c r="AQ10" i="82"/>
  <c r="AQ12" i="82" s="1"/>
  <c r="AP10" i="82"/>
  <c r="AP16" i="82" s="1"/>
  <c r="AN10" i="82"/>
  <c r="AM10" i="82"/>
  <c r="AM16" i="82" s="1"/>
  <c r="AL10" i="82"/>
  <c r="AL12" i="82" s="1"/>
  <c r="AJ10" i="82"/>
  <c r="AJ16" i="82" s="1"/>
  <c r="AI10" i="82"/>
  <c r="AH10" i="82"/>
  <c r="AH16" i="82" s="1"/>
  <c r="AF10" i="82"/>
  <c r="AF12" i="82" s="1"/>
  <c r="AE10" i="82"/>
  <c r="AE16" i="82" s="1"/>
  <c r="AD10" i="82"/>
  <c r="AA10" i="82"/>
  <c r="AA16" i="82" s="1"/>
  <c r="Z10" i="82"/>
  <c r="Z12" i="82" s="1"/>
  <c r="Y10" i="82"/>
  <c r="Y16" i="82" s="1"/>
  <c r="X10" i="82"/>
  <c r="W10" i="82"/>
  <c r="W16" i="82" s="1"/>
  <c r="S10" i="82"/>
  <c r="S12" i="82" s="1"/>
  <c r="R10" i="82"/>
  <c r="R16" i="82" s="1"/>
  <c r="Q10" i="82"/>
  <c r="N10" i="82"/>
  <c r="N16" i="82" s="1"/>
  <c r="M10" i="82"/>
  <c r="M12" i="82" s="1"/>
  <c r="J10" i="82"/>
  <c r="J16" i="82" s="1"/>
  <c r="F10" i="82"/>
  <c r="E10" i="82"/>
  <c r="E16" i="82" s="1"/>
  <c r="AW15" i="75"/>
  <c r="AW14" i="75"/>
  <c r="AV15" i="75"/>
  <c r="AV14" i="75"/>
  <c r="AU15" i="75"/>
  <c r="AU14" i="75"/>
  <c r="AS15" i="75"/>
  <c r="AS14" i="75"/>
  <c r="AR15" i="75"/>
  <c r="AR14" i="75"/>
  <c r="AQ15" i="75"/>
  <c r="AQ14" i="75"/>
  <c r="AN15" i="75"/>
  <c r="AN14" i="75"/>
  <c r="AM15" i="75"/>
  <c r="AM14" i="75"/>
  <c r="AL15" i="75"/>
  <c r="AL14" i="75"/>
  <c r="AI15" i="75"/>
  <c r="AI14" i="75"/>
  <c r="AH15" i="75"/>
  <c r="AH14" i="75"/>
  <c r="AG15" i="75"/>
  <c r="AG14" i="75"/>
  <c r="AD15" i="75"/>
  <c r="AD14" i="75"/>
  <c r="AC15" i="75"/>
  <c r="AC14" i="75"/>
  <c r="AO15" i="75"/>
  <c r="AO14" i="75"/>
  <c r="AJ15" i="75"/>
  <c r="AJ14" i="75"/>
  <c r="Z15" i="75"/>
  <c r="Z14" i="75"/>
  <c r="V15" i="75"/>
  <c r="V14" i="75"/>
  <c r="Y15" i="75"/>
  <c r="Y14" i="75"/>
  <c r="X15" i="75"/>
  <c r="X14" i="75"/>
  <c r="W15" i="75"/>
  <c r="W14" i="75"/>
  <c r="R15" i="75"/>
  <c r="R14" i="75"/>
  <c r="Q15" i="75"/>
  <c r="Q14" i="75"/>
  <c r="P15" i="75"/>
  <c r="P14" i="75"/>
  <c r="M15" i="75"/>
  <c r="M14" i="75"/>
  <c r="L15" i="75"/>
  <c r="L14" i="75"/>
  <c r="I15" i="75"/>
  <c r="I14" i="75"/>
  <c r="F15" i="75"/>
  <c r="F14" i="75"/>
  <c r="E15" i="75"/>
  <c r="E14" i="75"/>
  <c r="AS12" i="75"/>
  <c r="AM12" i="75"/>
  <c r="AG12" i="75"/>
  <c r="AJ12" i="75"/>
  <c r="X12" i="75"/>
  <c r="P12" i="75"/>
  <c r="F12" i="75"/>
  <c r="AW10" i="75"/>
  <c r="AV10" i="75"/>
  <c r="AV12" i="75" s="1"/>
  <c r="AU10" i="75"/>
  <c r="AU12" i="75" s="1"/>
  <c r="AS10" i="75"/>
  <c r="AS16" i="75" s="1"/>
  <c r="AR10" i="75"/>
  <c r="AQ10" i="75"/>
  <c r="AQ12" i="75" s="1"/>
  <c r="AN10" i="75"/>
  <c r="AN12" i="75" s="1"/>
  <c r="AM10" i="75"/>
  <c r="AM16" i="75" s="1"/>
  <c r="AL10" i="75"/>
  <c r="AI10" i="75"/>
  <c r="AI12" i="75" s="1"/>
  <c r="AH10" i="75"/>
  <c r="AH12" i="75" s="1"/>
  <c r="AG10" i="75"/>
  <c r="AG16" i="75" s="1"/>
  <c r="AD10" i="75"/>
  <c r="AC10" i="75"/>
  <c r="AC12" i="75" s="1"/>
  <c r="AO10" i="75"/>
  <c r="AO12" i="75" s="1"/>
  <c r="AJ10" i="75"/>
  <c r="AJ16" i="75" s="1"/>
  <c r="Z10" i="75"/>
  <c r="V10" i="75"/>
  <c r="V12" i="75" s="1"/>
  <c r="Y10" i="75"/>
  <c r="Y12" i="75" s="1"/>
  <c r="X10" i="75"/>
  <c r="X16" i="75" s="1"/>
  <c r="W10" i="75"/>
  <c r="R10" i="75"/>
  <c r="R12" i="75" s="1"/>
  <c r="Q10" i="75"/>
  <c r="Q12" i="75" s="1"/>
  <c r="P10" i="75"/>
  <c r="P16" i="75" s="1"/>
  <c r="M10" i="75"/>
  <c r="L10" i="75"/>
  <c r="L12" i="75" s="1"/>
  <c r="I10" i="75"/>
  <c r="I12" i="75" s="1"/>
  <c r="F10" i="75"/>
  <c r="F16" i="75" s="1"/>
  <c r="E10" i="75"/>
  <c r="AS6" i="75"/>
  <c r="AC6" i="75"/>
  <c r="M16" i="82" l="1"/>
  <c r="S16" i="82"/>
  <c r="Z16" i="82"/>
  <c r="AF16" i="82"/>
  <c r="AL16" i="82"/>
  <c r="AQ16" i="82"/>
  <c r="F12" i="82"/>
  <c r="F16" i="82" s="1"/>
  <c r="Q12" i="82"/>
  <c r="Q16" i="82" s="1"/>
  <c r="X12" i="82"/>
  <c r="X16" i="82" s="1"/>
  <c r="AD12" i="82"/>
  <c r="AD16" i="82" s="1"/>
  <c r="AI12" i="82"/>
  <c r="AI16" i="82" s="1"/>
  <c r="AN12" i="82"/>
  <c r="AN16" i="82" s="1"/>
  <c r="E16" i="75"/>
  <c r="Z16" i="75"/>
  <c r="AD16" i="75"/>
  <c r="AW16" i="75"/>
  <c r="AH16" i="75"/>
  <c r="E12" i="75"/>
  <c r="M12" i="75"/>
  <c r="M16" i="75" s="1"/>
  <c r="W12" i="75"/>
  <c r="W16" i="75" s="1"/>
  <c r="Z12" i="75"/>
  <c r="AD12" i="75"/>
  <c r="AL12" i="75"/>
  <c r="AL16" i="75" s="1"/>
  <c r="AR12" i="75"/>
  <c r="AR16" i="75" s="1"/>
  <c r="AW12" i="75"/>
  <c r="L16" i="75"/>
  <c r="R16" i="75"/>
  <c r="V16" i="75"/>
  <c r="AC16" i="75"/>
  <c r="AI16" i="75"/>
  <c r="AQ16" i="75"/>
  <c r="AV16" i="75"/>
  <c r="Q16" i="75"/>
  <c r="AN16" i="75"/>
  <c r="AU16" i="75"/>
  <c r="I16" i="75"/>
  <c r="Y16" i="75"/>
  <c r="AO16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FABADE06-FB00-4445-81E6-80C223EC9433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9" authorId="0" shapeId="0" xr:uid="{80BF6346-B4EC-4CD4-A1FC-2BB3CA737753}">
      <text>
        <r>
          <rPr>
            <sz val="10"/>
            <color indexed="81"/>
            <rFont val="Arial"/>
            <family val="2"/>
          </rPr>
          <t>1 - 15,135_x000D_
2 - 14,470_x000D_
3 - 12,105_x000D_
4 - 9,184_x000D_
5 - 7,981_x000D_
6 - 2,856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82140B71-3FE6-41DE-96C2-D5034A4EE5A7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9" authorId="0" shapeId="0" xr:uid="{D8D1C70B-83F2-4B32-B38D-C333F32FFDE4}">
      <text>
        <r>
          <rPr>
            <sz val="10"/>
            <color indexed="81"/>
            <rFont val="Arial"/>
            <family val="2"/>
          </rPr>
          <t>1 - 0_x000D_
2 - 0_x000D_
3 - 12,105_x000D_
4 - 0_x000D_
5 - 0_x000D_
6 - 2,856</t>
        </r>
      </text>
    </comment>
  </commentList>
</comments>
</file>

<file path=xl/sharedStrings.xml><?xml version="1.0" encoding="utf-8"?>
<sst xmlns="http://schemas.openxmlformats.org/spreadsheetml/2006/main" count="4688" uniqueCount="644">
  <si>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</si>
  <si>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</si>
  <si>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</si>
  <si>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</si>
  <si>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</si>
  <si>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</si>
  <si>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</si>
  <si>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</si>
  <si>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</si>
  <si>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</si>
  <si>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</si>
  <si>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</si>
  <si>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</si>
  <si>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</si>
  <si>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</si>
  <si>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</si>
  <si>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</si>
  <si>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</si>
  <si>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</si>
  <si>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</si>
  <si>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</si>
  <si>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</si>
  <si>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</si>
  <si>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</si>
  <si>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</si>
  <si>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</si>
  <si>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</si>
  <si>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</si>
  <si>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</si>
  <si>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</si>
  <si>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</si>
  <si>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</si>
  <si>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</si>
  <si>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</si>
  <si>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</si>
  <si>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</si>
  <si>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</si>
  <si>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</si>
  <si>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</si>
  <si>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</si>
  <si>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</si>
  <si>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</si>
  <si>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</si>
  <si>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</si>
  <si>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</si>
  <si>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</si>
  <si>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</si>
  <si>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</si>
  <si>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</si>
  <si>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</si>
  <si>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</si>
  <si>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</si>
  <si>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</si>
  <si>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</si>
  <si>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</si>
  <si>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</si>
  <si>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</si>
  <si>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</si>
  <si>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</si>
  <si>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</si>
  <si>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</si>
  <si>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</si>
  <si>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</si>
  <si>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</si>
  <si>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</si>
  <si>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</si>
  <si>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</si>
  <si>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</si>
  <si>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</si>
  <si>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</si>
  <si>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</si>
  <si>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</si>
  <si>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</si>
  <si>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</si>
  <si>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</si>
  <si>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</si>
  <si>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</si>
  <si>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</si>
  <si>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</si>
  <si>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</si>
  <si>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</si>
  <si>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</si>
  <si>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</si>
  <si>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</si>
  <si>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</si>
  <si>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</si>
  <si>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</si>
  <si>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</si>
  <si>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</si>
  <si>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</si>
  <si>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</si>
  <si>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</si>
  <si>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</si>
  <si>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</si>
  <si>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</si>
  <si>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</si>
  <si>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</si>
  <si>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</si>
  <si>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</si>
  <si>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</si>
  <si>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</si>
  <si>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</si>
  <si>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</si>
  <si>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</si>
  <si>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</si>
  <si>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</si>
  <si>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</si>
  <si>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</si>
  <si>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</si>
  <si>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</si>
  <si>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</si>
  <si>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</si>
  <si>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</si>
  <si>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</si>
  <si>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</si>
  <si>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</si>
  <si>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</si>
  <si>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</si>
  <si>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</si>
  <si>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</si>
  <si>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</si>
  <si>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</si>
  <si>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</si>
  <si>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</si>
  <si>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</si>
  <si>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</si>
  <si>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</si>
  <si>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</si>
  <si>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</si>
  <si>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</si>
  <si>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</si>
  <si>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</si>
  <si>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</si>
  <si>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</si>
  <si>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</si>
  <si>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</si>
  <si>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</si>
  <si>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</si>
  <si>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</si>
  <si>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</si>
  <si>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</si>
  <si>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</si>
  <si>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</si>
  <si>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</si>
  <si>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</si>
  <si>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</si>
  <si>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</si>
  <si>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</si>
  <si>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</si>
  <si>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</si>
  <si>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</si>
  <si>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</si>
  <si>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</si>
  <si>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</si>
  <si>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</si>
  <si>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</si>
  <si>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</si>
  <si>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</si>
  <si>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</si>
  <si>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</si>
  <si>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</si>
  <si>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</si>
  <si>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</si>
  <si>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</si>
  <si>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</si>
  <si>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</si>
  <si>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</si>
  <si>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</si>
  <si>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</si>
  <si>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</si>
  <si>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</si>
  <si>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</si>
  <si>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</si>
  <si>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</si>
  <si>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</si>
  <si>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</si>
  <si>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</si>
  <si>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</si>
  <si>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</si>
  <si>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</si>
  <si>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</si>
  <si>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</si>
  <si>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</si>
  <si>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</si>
  <si>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</si>
  <si>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</si>
  <si>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</si>
  <si>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</si>
  <si>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</si>
  <si>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</si>
  <si>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</si>
  <si>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</si>
  <si>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</si>
  <si>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</si>
  <si>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</si>
  <si>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</si>
  <si>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</si>
  <si>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</si>
  <si>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</si>
  <si>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</si>
  <si>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</si>
  <si>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</si>
  <si>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</si>
  <si>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</si>
  <si>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</si>
  <si>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</si>
  <si>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</si>
  <si>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</si>
  <si>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</si>
  <si>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</si>
  <si>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</si>
  <si>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</si>
  <si>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</si>
  <si>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</si>
  <si>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</si>
  <si>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</si>
  <si>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</si>
  <si>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</si>
  <si>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</si>
  <si>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</si>
  <si>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</si>
  <si>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</si>
  <si>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</si>
  <si>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</si>
  <si>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</si>
  <si>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</si>
  <si>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</si>
  <si>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</si>
  <si>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</si>
  <si>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</si>
  <si>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</si>
  <si>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</si>
  <si>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</si>
  <si>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</si>
  <si>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</si>
  <si>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</si>
  <si>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</si>
  <si>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</si>
  <si>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</si>
  <si>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</si>
  <si>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</si>
  <si>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</si>
  <si>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</si>
  <si>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</si>
  <si>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</si>
  <si>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</si>
  <si>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</si>
  <si>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</si>
  <si>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</si>
  <si>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</si>
  <si>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</si>
  <si>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</si>
  <si>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</si>
  <si>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</si>
  <si>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</si>
  <si>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</si>
  <si>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</si>
  <si>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</si>
  <si>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</si>
  <si>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</si>
  <si>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</si>
  <si>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</si>
  <si>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</si>
  <si>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</si>
  <si>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</si>
  <si>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</si>
  <si>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</si>
  <si>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</si>
  <si>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</si>
  <si>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</si>
  <si>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</si>
  <si>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</si>
  <si>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</si>
  <si>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</si>
  <si>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</si>
  <si>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</si>
  <si>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</si>
  <si>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</si>
  <si>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</si>
  <si>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</si>
  <si>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</si>
  <si>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</si>
  <si>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</si>
  <si>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</si>
  <si>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</si>
  <si>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</si>
  <si>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</si>
  <si>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</si>
  <si>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</si>
  <si>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</si>
  <si>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</si>
  <si>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</si>
  <si>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</si>
  <si>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</si>
  <si>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</si>
  <si>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</si>
  <si>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</si>
  <si>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</si>
  <si>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</si>
  <si>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</si>
  <si>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</si>
  <si>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</si>
  <si>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</si>
  <si>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</si>
  <si>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</si>
  <si>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</si>
  <si>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</si>
  <si>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</si>
  <si>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</si>
  <si>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</si>
  <si>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</si>
  <si>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</si>
  <si>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</si>
  <si>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</si>
  <si>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</si>
  <si>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</si>
  <si>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</si>
  <si>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</si>
  <si>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</si>
  <si>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</si>
  <si>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</si>
  <si>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</si>
  <si>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</si>
  <si>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</si>
  <si>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</si>
  <si>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</si>
  <si>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</si>
  <si>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</si>
  <si>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</si>
  <si>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</si>
  <si>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</si>
  <si>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</si>
  <si>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</si>
  <si>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</si>
  <si>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</si>
  <si>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</si>
  <si>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</si>
  <si>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</si>
  <si>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</si>
  <si>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</si>
  <si>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</si>
  <si>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</si>
  <si>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</si>
  <si>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</si>
  <si>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</si>
  <si>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</si>
  <si>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</si>
  <si>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</si>
  <si>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</si>
  <si>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</si>
  <si>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</si>
  <si>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</si>
  <si>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</si>
  <si>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</si>
  <si>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</si>
  <si>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</si>
  <si>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</si>
  <si>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</si>
  <si>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</si>
  <si>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</si>
  <si>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</si>
  <si>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</si>
  <si>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</si>
  <si>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</si>
  <si>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</si>
  <si>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</si>
  <si>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</si>
  <si>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</si>
  <si>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</si>
  <si>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</si>
  <si>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</si>
  <si>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</si>
  <si>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</si>
  <si>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</si>
  <si>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</si>
  <si>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</si>
  <si>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</si>
  <si>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</si>
  <si>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</si>
  <si>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</si>
  <si>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</si>
  <si>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</si>
  <si>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</si>
  <si>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</si>
  <si>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</si>
  <si>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</si>
  <si>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</si>
  <si>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</si>
  <si>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</si>
  <si>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</si>
  <si>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</si>
  <si>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</si>
  <si>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</si>
  <si>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</si>
  <si>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</si>
  <si>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</si>
  <si>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</si>
  <si>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</si>
  <si>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</si>
  <si>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</si>
  <si>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</si>
  <si>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</si>
  <si>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</si>
  <si>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</si>
  <si>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</si>
  <si>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</si>
  <si>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</si>
  <si>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</si>
  <si>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</si>
  <si>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</si>
  <si>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</si>
  <si>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</si>
  <si>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</si>
  <si>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</si>
  <si>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</si>
  <si>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</si>
  <si>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</si>
  <si>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</si>
  <si>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</si>
  <si>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</si>
  <si>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</si>
  <si>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</si>
  <si>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</si>
  <si>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</si>
  <si>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</si>
  <si>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</si>
  <si>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</si>
  <si>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</si>
  <si>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</si>
  <si>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</si>
  <si>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</si>
  <si>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</si>
  <si>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</si>
  <si>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</si>
  <si>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</si>
  <si>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</si>
  <si>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</si>
  <si>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</si>
  <si>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</si>
  <si>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</si>
  <si>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</si>
  <si>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</si>
  <si>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</si>
  <si>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</si>
  <si>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</si>
  <si>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</si>
  <si>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</si>
  <si>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</si>
  <si>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</si>
  <si>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</si>
  <si>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</si>
  <si>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</si>
  <si>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</si>
  <si>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</si>
  <si>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</si>
  <si>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</si>
  <si>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</si>
  <si>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</si>
  <si>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</si>
  <si>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</si>
  <si>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</si>
  <si>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</si>
  <si>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</si>
  <si>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</si>
  <si>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</si>
  <si>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</si>
  <si>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</si>
  <si>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</si>
  <si>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</si>
  <si>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</si>
  <si>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</si>
  <si>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</si>
  <si>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</si>
  <si>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</si>
  <si>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</si>
  <si>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</si>
  <si>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</si>
  <si>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</si>
  <si>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</si>
  <si>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</si>
  <si>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</si>
  <si>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</si>
  <si>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</si>
  <si>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</si>
  <si>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</si>
  <si>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</si>
  <si>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</si>
  <si>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</si>
  <si>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</si>
  <si>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</si>
  <si>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</si>
  <si>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</si>
  <si>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</si>
  <si>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</si>
  <si>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</si>
  <si>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</si>
  <si>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</si>
  <si>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</si>
  <si>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</si>
  <si>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</si>
  <si>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</si>
  <si>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</si>
  <si>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</si>
  <si>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</si>
  <si>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</si>
  <si>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</si>
  <si>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</si>
  <si>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</si>
  <si>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</si>
  <si>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</si>
  <si>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</si>
  <si>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</si>
  <si>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</si>
  <si>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</si>
  <si>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</si>
  <si>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</si>
  <si>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</si>
  <si>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</si>
  <si>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</si>
  <si>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</si>
  <si>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</si>
  <si>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</si>
  <si>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</si>
  <si>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</si>
  <si>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</si>
  <si>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</si>
  <si>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</si>
  <si>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</si>
  <si>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</si>
  <si>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</si>
  <si>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</si>
  <si>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</si>
  <si>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</si>
  <si>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</si>
  <si>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</si>
  <si>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</si>
  <si>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</si>
  <si>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</si>
  <si>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</si>
  <si>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</si>
  <si>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</si>
  <si>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</si>
  <si>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</si>
  <si>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</si>
  <si>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</si>
  <si>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</si>
  <si>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</si>
  <si>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</si>
  <si>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</si>
  <si>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</si>
  <si>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</si>
  <si>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</si>
  <si>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</si>
  <si>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</si>
  <si>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</si>
  <si>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</si>
  <si>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</si>
  <si>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</si>
  <si>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</si>
  <si>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</si>
  <si>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</si>
  <si>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</si>
  <si>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</si>
  <si>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</si>
  <si>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</si>
  <si>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</si>
  <si>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</si>
  <si>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</si>
  <si>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</si>
  <si>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</si>
  <si>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</si>
  <si>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</si>
  <si>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</si>
  <si>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</si>
  <si>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</si>
  <si>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</si>
  <si>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</si>
  <si>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</si>
  <si>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</si>
  <si>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</si>
  <si>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</si>
  <si>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</si>
  <si>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</si>
  <si>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</si>
  <si>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</si>
  <si>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</si>
  <si>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</si>
  <si>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</si>
  <si>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</si>
  <si>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</si>
  <si>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</si>
  <si>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</si>
  <si>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</si>
  <si>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</si>
  <si>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</si>
  <si>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</si>
  <si>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</si>
  <si>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</si>
  <si>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</si>
  <si>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</si>
  <si>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</si>
  <si>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</si>
  <si>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</si>
  <si>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</si>
  <si>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</si>
  <si>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</si>
  <si>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</si>
  <si>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</si>
  <si>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</si>
  <si>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</si>
  <si>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</si>
  <si>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</si>
  <si>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</si>
  <si>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</si>
  <si>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</si>
  <si>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</si>
  <si>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</si>
  <si>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</si>
  <si>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</si>
  <si>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</si>
  <si>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</si>
  <si>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</si>
  <si>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</si>
  <si>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</si>
  <si>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</si>
  <si>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</si>
  <si>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</si>
  <si>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</si>
  <si>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</si>
  <si>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</si>
  <si>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</si>
  <si>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</si>
  <si>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</si>
  <si>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</si>
  <si>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</si>
  <si>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>Kevin Ford</t>
  </si>
  <si>
    <t>Division 70</t>
  </si>
  <si>
    <t>70.1077.</t>
  </si>
  <si>
    <t xml:space="preserve">    AIC - Overhead 2025</t>
  </si>
  <si>
    <t xml:space="preserve">  Division 70 Closed Job Totals</t>
  </si>
  <si>
    <t>Division 70 Totals</t>
  </si>
  <si>
    <t>Company 16 Grand Totals</t>
  </si>
  <si>
    <t>Company 16 Open Job Totals</t>
  </si>
  <si>
    <t>Company 16 Closed Job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</si>
</sst>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70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BVmDXX3Sv15kPwrNP0ixsimXX91Yb5S0uoaBcb6oXLnWp63wQiYah0c4Oo1pX3BNicC0jPRn+b4JldyrTOJNtA==" saltValue="DOOWbRRYZqNlxmlMcwdUe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636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637</v>
      </c>
      <c r="B9" s="232" t="s">
        <v>638</v>
      </c>
      <c r="C9" s="232" t="s">
        <v>635</v>
      </c>
      <c r="D9" s="233"/>
      <c r="E9" s="234">
        <v>0</v>
      </c>
      <c r="F9" s="235">
        <v>0</v>
      </c>
      <c r="G9" s="236"/>
      <c r="H9" s="237"/>
      <c r="I9" s="238">
        <v>0</v>
      </c>
      <c r="J9" s="249"/>
      <c r="K9" s="240"/>
      <c r="L9" s="8">
        <v>21559.39</v>
      </c>
      <c r="M9" s="241">
        <v>21559.39</v>
      </c>
      <c r="N9" s="72"/>
      <c r="O9" s="100"/>
      <c r="P9" s="9"/>
      <c r="Q9" s="9">
        <v>-15134.6</v>
      </c>
      <c r="R9" s="9"/>
      <c r="S9" s="152">
        <v>45992</v>
      </c>
      <c r="T9" s="10"/>
      <c r="U9" s="23"/>
      <c r="V9" s="11"/>
      <c r="W9" s="11"/>
      <c r="X9" s="8">
        <v>21559.39</v>
      </c>
      <c r="Y9" s="9"/>
      <c r="Z9" s="70">
        <v>-21559.39</v>
      </c>
      <c r="AA9" s="72"/>
      <c r="AB9" s="108"/>
      <c r="AC9" s="9">
        <v>-15134.6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21559.39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0</v>
      </c>
      <c r="BF9" s="15">
        <v>21559.39</v>
      </c>
      <c r="BG9" s="15">
        <v>-21559.39</v>
      </c>
      <c r="BH9" s="15">
        <v>0</v>
      </c>
      <c r="BI9" s="15">
        <v>21559.39</v>
      </c>
      <c r="BJ9" s="242">
        <v>0</v>
      </c>
      <c r="BK9" s="242">
        <v>-15134.6</v>
      </c>
      <c r="BL9" s="242"/>
      <c r="BM9" s="242">
        <v>2</v>
      </c>
      <c r="BN9" s="242">
        <v>-15134.6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93">
        <v>-21559.39</v>
      </c>
      <c r="CC9" s="246" t="s">
        <v>634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633</v>
      </c>
      <c r="CJ9" s="248">
        <v>21559.39</v>
      </c>
      <c r="CK9" s="248">
        <v>21559.39</v>
      </c>
      <c r="CL9" s="248">
        <v>0</v>
      </c>
      <c r="CM9" s="248">
        <v>0</v>
      </c>
    </row>
    <row r="10" spans="1:102" x14ac:dyDescent="0.25">
      <c r="A10" s="231"/>
      <c r="B10" s="120" t="s">
        <v>639</v>
      </c>
      <c r="C10" s="232"/>
      <c r="D10" s="233"/>
      <c r="E10" s="279">
        <f>SUM(E8:E9)</f>
        <v>0</v>
      </c>
      <c r="F10" s="268">
        <f>SUM(F8:F9)</f>
        <v>0</v>
      </c>
      <c r="G10" s="236"/>
      <c r="H10" s="237"/>
      <c r="I10" s="280">
        <f>SUM(I8:I9)</f>
        <v>0</v>
      </c>
      <c r="J10" s="249"/>
      <c r="K10" s="240"/>
      <c r="L10" s="272">
        <f>SUM(L8:L9)</f>
        <v>21559.39</v>
      </c>
      <c r="M10" s="281">
        <f>SUM(M8:M9)</f>
        <v>21559.39</v>
      </c>
      <c r="N10" s="72"/>
      <c r="O10" s="100"/>
      <c r="P10" s="270">
        <f>SUM(P8:P9)</f>
        <v>0</v>
      </c>
      <c r="Q10" s="270">
        <f>SUM(Q8:Q9)</f>
        <v>-15134.6</v>
      </c>
      <c r="R10" s="270">
        <f>SUM(R8:R9)</f>
        <v>0</v>
      </c>
      <c r="S10" s="152"/>
      <c r="T10" s="10"/>
      <c r="U10" s="23"/>
      <c r="V10" s="271">
        <f>SUM(V8:V9)</f>
        <v>0</v>
      </c>
      <c r="W10" s="271">
        <f>SUM(W8:W9)</f>
        <v>0</v>
      </c>
      <c r="X10" s="272">
        <f>SUM(X8:X9)</f>
        <v>21559.39</v>
      </c>
      <c r="Y10" s="270">
        <f>SUM(Y8:Y9)</f>
        <v>0</v>
      </c>
      <c r="Z10" s="282">
        <f>SUM(Z8:Z9)</f>
        <v>-21559.39</v>
      </c>
      <c r="AA10" s="72"/>
      <c r="AB10" s="108"/>
      <c r="AC10" s="270">
        <f>SUM(AC8:AC9)</f>
        <v>-15134.6</v>
      </c>
      <c r="AD10" s="270">
        <f>SUM(AD8:AD9)</f>
        <v>0</v>
      </c>
      <c r="AE10" s="10"/>
      <c r="AF10" s="24"/>
      <c r="AG10" s="271">
        <f>SUM(AG8:AG9)</f>
        <v>0</v>
      </c>
      <c r="AH10" s="272">
        <f>SUM(AH8:AH9)</f>
        <v>0</v>
      </c>
      <c r="AI10" s="270">
        <f>SUM(AI8:AI9)</f>
        <v>0</v>
      </c>
      <c r="AJ10" s="270">
        <f>SUM(AJ8:AJ9)</f>
        <v>0</v>
      </c>
      <c r="AK10" s="10"/>
      <c r="AL10" s="271">
        <f>SUM(AL8:AL9)</f>
        <v>0</v>
      </c>
      <c r="AM10" s="272">
        <f>SUM(AM8:AM9)</f>
        <v>21559.39</v>
      </c>
      <c r="AN10" s="270">
        <f>SUM(AN8:AN9)</f>
        <v>0</v>
      </c>
      <c r="AO10" s="270">
        <f>SUM(AO8:AO9)</f>
        <v>0</v>
      </c>
      <c r="AP10" s="10"/>
      <c r="AQ10" s="283">
        <f>SUM(AQ8:AQ9)</f>
        <v>0</v>
      </c>
      <c r="AR10" s="283">
        <f>SUM(AR8:AR9)</f>
        <v>0</v>
      </c>
      <c r="AS10" s="283">
        <f>SUM(AS8:AS9)</f>
        <v>0</v>
      </c>
      <c r="AT10" s="10"/>
      <c r="AU10" s="284">
        <f>SUM(AU8:AU9)</f>
        <v>0</v>
      </c>
      <c r="AV10" s="284">
        <f>SUM(AV8:AV9)</f>
        <v>0</v>
      </c>
      <c r="AW10" s="284">
        <f>SUM(AW8:AW9)</f>
        <v>0</v>
      </c>
      <c r="AX10" s="242"/>
      <c r="AY10" s="243"/>
      <c r="AZ10" s="242"/>
      <c r="BA10" s="242"/>
      <c r="BB10" s="244"/>
      <c r="BC10" s="243"/>
      <c r="BD10" s="243"/>
      <c r="BE10" s="242"/>
      <c r="BF10" s="242"/>
      <c r="BG10" s="242"/>
      <c r="BH10" s="242"/>
      <c r="BI10" s="242"/>
      <c r="BJ10" s="242"/>
      <c r="BK10" s="242"/>
      <c r="BL10" s="242"/>
      <c r="BM10" s="242"/>
      <c r="BN10" s="242"/>
      <c r="BO10" s="242"/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45"/>
      <c r="CC10" s="246"/>
      <c r="CD10" s="242"/>
      <c r="CE10" s="248"/>
      <c r="CF10" s="248"/>
      <c r="CG10" s="248"/>
      <c r="CH10" s="248"/>
      <c r="CI10" s="247"/>
      <c r="CJ10" s="248"/>
      <c r="CK10" s="248"/>
      <c r="CL10" s="248"/>
      <c r="CM10" s="248"/>
    </row>
    <row r="11" spans="1:102" x14ac:dyDescent="0.25">
      <c r="A11" s="231"/>
      <c r="B11" s="232"/>
      <c r="C11" s="232"/>
      <c r="D11" s="233"/>
      <c r="E11" s="234"/>
      <c r="F11" s="235"/>
      <c r="G11" s="236"/>
      <c r="H11" s="237"/>
      <c r="I11" s="238"/>
      <c r="J11" s="249"/>
      <c r="K11" s="240"/>
      <c r="L11" s="8"/>
      <c r="M11" s="241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2"/>
      <c r="AY11" s="243"/>
      <c r="AZ11" s="242"/>
      <c r="BA11" s="242"/>
      <c r="BB11" s="244"/>
      <c r="BC11" s="243"/>
      <c r="BD11" s="243"/>
      <c r="BE11" s="242"/>
      <c r="BF11" s="242"/>
      <c r="BG11" s="242"/>
      <c r="BH11" s="242"/>
      <c r="BI11" s="242"/>
      <c r="BJ11" s="242"/>
      <c r="BK11" s="250"/>
      <c r="BL11" s="242"/>
      <c r="BM11" s="242"/>
      <c r="BN11" s="242"/>
      <c r="BO11" s="242"/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45"/>
      <c r="CC11" s="246"/>
      <c r="CD11" s="242"/>
      <c r="CE11" s="242"/>
      <c r="CF11" s="242"/>
      <c r="CG11" s="242"/>
      <c r="CH11" s="242"/>
      <c r="CI11" s="247"/>
      <c r="CJ11" s="248"/>
      <c r="CK11" s="248"/>
      <c r="CL11" s="248"/>
      <c r="CM11" s="248"/>
    </row>
    <row r="12" spans="1:102" x14ac:dyDescent="0.25">
      <c r="A12" s="231"/>
      <c r="B12" s="120" t="s">
        <v>640</v>
      </c>
      <c r="C12" s="232"/>
      <c r="D12" s="233"/>
      <c r="E12" s="279">
        <f>SUM(E7:E11)/2</f>
        <v>0</v>
      </c>
      <c r="F12" s="268">
        <f>SUM(F7:F11)/2</f>
        <v>0</v>
      </c>
      <c r="G12" s="236"/>
      <c r="H12" s="237"/>
      <c r="I12" s="280">
        <f>SUM(I7:I11)/2</f>
        <v>0</v>
      </c>
      <c r="J12" s="249"/>
      <c r="K12" s="240"/>
      <c r="L12" s="272">
        <f>SUM(L7:L11)/2</f>
        <v>21559.39</v>
      </c>
      <c r="M12" s="281">
        <f>SUM(M7:M11)/2</f>
        <v>21559.39</v>
      </c>
      <c r="N12" s="71"/>
      <c r="O12" s="100"/>
      <c r="P12" s="270">
        <f>SUM(P7:P11)/2</f>
        <v>0</v>
      </c>
      <c r="Q12" s="270">
        <f>SUM(Q7:Q11)/2</f>
        <v>-15134.6</v>
      </c>
      <c r="R12" s="270">
        <f>SUM(R7:R11)/2</f>
        <v>0</v>
      </c>
      <c r="S12" s="152"/>
      <c r="T12" s="10"/>
      <c r="U12" s="23"/>
      <c r="V12" s="271">
        <f>SUM(V7:V11)/2</f>
        <v>0</v>
      </c>
      <c r="W12" s="271">
        <f>SUM(W7:W11)/2</f>
        <v>0</v>
      </c>
      <c r="X12" s="272">
        <f>SUM(X7:X11)/2</f>
        <v>21559.39</v>
      </c>
      <c r="Y12" s="270">
        <f>SUM(Y7:Y11)/2</f>
        <v>0</v>
      </c>
      <c r="Z12" s="282">
        <f>SUM(Z7:Z11)/2</f>
        <v>-21559.39</v>
      </c>
      <c r="AA12" s="72"/>
      <c r="AB12" s="108"/>
      <c r="AC12" s="270">
        <f>SUM(AC7:AC11)/2</f>
        <v>-15134.6</v>
      </c>
      <c r="AD12" s="270">
        <f>SUM(AD7:AD11)/2</f>
        <v>0</v>
      </c>
      <c r="AE12" s="10"/>
      <c r="AF12" s="24"/>
      <c r="AG12" s="271">
        <f>SUM(AG7:AG11)/2</f>
        <v>0</v>
      </c>
      <c r="AH12" s="272">
        <f>SUM(AH7:AH11)/2</f>
        <v>0</v>
      </c>
      <c r="AI12" s="270">
        <f>SUM(AI7:AI11)/2</f>
        <v>0</v>
      </c>
      <c r="AJ12" s="270">
        <f>SUM(AJ7:AJ11)/2</f>
        <v>0</v>
      </c>
      <c r="AK12" s="10"/>
      <c r="AL12" s="271">
        <f>SUM(AL7:AL11)/2</f>
        <v>0</v>
      </c>
      <c r="AM12" s="272">
        <f>SUM(AM7:AM11)/2</f>
        <v>21559.39</v>
      </c>
      <c r="AN12" s="270">
        <f>SUM(AN7:AN11)/2</f>
        <v>0</v>
      </c>
      <c r="AO12" s="270">
        <f>SUM(AO7:AO11)/2</f>
        <v>0</v>
      </c>
      <c r="AP12" s="10"/>
      <c r="AQ12" s="283">
        <f>SUM(AQ7:AQ11)/2</f>
        <v>0</v>
      </c>
      <c r="AR12" s="283">
        <f>SUM(AR7:AR11)/2</f>
        <v>0</v>
      </c>
      <c r="AS12" s="283">
        <f>SUM(AS7:AS11)/2</f>
        <v>0</v>
      </c>
      <c r="AT12" s="10"/>
      <c r="AU12" s="284">
        <f>SUM(AU7:AU11)/2</f>
        <v>0</v>
      </c>
      <c r="AV12" s="284">
        <f>SUM(AV7:AV11)/2</f>
        <v>0</v>
      </c>
      <c r="AW12" s="284">
        <f>SUM(AW7:AW11)/2</f>
        <v>0</v>
      </c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/>
      <c r="B13" s="232"/>
      <c r="C13" s="232"/>
      <c r="D13" s="233"/>
      <c r="E13" s="234"/>
      <c r="F13" s="235"/>
      <c r="G13" s="236"/>
      <c r="H13" s="237"/>
      <c r="I13" s="238"/>
      <c r="J13" s="249"/>
      <c r="K13" s="240"/>
      <c r="L13" s="8"/>
      <c r="M13" s="241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86"/>
      <c r="B14" s="285" t="s">
        <v>642</v>
      </c>
      <c r="C14" s="120"/>
      <c r="D14" s="267"/>
      <c r="E14" s="279">
        <f>SUMIF(BM8:BM14,1, E8:E14)</f>
        <v>0</v>
      </c>
      <c r="F14" s="268">
        <f>SUMIF(BM8:BM14,1, F8:F14)</f>
        <v>0</v>
      </c>
      <c r="G14" s="287"/>
      <c r="H14" s="104"/>
      <c r="I14" s="280">
        <f>SUMIF(BM8:BM14,1, I8:I14)</f>
        <v>0</v>
      </c>
      <c r="J14" s="304"/>
      <c r="K14" s="98"/>
      <c r="L14" s="272">
        <f>SUMIF(BM8:BM14,1, L8:L14)</f>
        <v>0</v>
      </c>
      <c r="M14" s="281">
        <f>SUMIF(BM8:BM14,1, M8:M14)</f>
        <v>0</v>
      </c>
      <c r="N14" s="295"/>
      <c r="O14" s="99"/>
      <c r="P14" s="270">
        <f>SUMIF(BM8:BM14,1, P8:P14)</f>
        <v>0</v>
      </c>
      <c r="Q14" s="270">
        <f>SUMIF(BM8:BM14,1, Q8:Q14)</f>
        <v>0</v>
      </c>
      <c r="R14" s="270">
        <f>SUMIF(BM8:BM14,1, R8:R14)</f>
        <v>0</v>
      </c>
      <c r="S14" s="289"/>
      <c r="T14" s="290"/>
      <c r="U14" s="291"/>
      <c r="V14" s="271">
        <f>SUMIF(BM8:BM14,1, V8:V14)</f>
        <v>0</v>
      </c>
      <c r="W14" s="271">
        <f>SUMIF(BM8:BM14,1, W8:W14)</f>
        <v>0</v>
      </c>
      <c r="X14" s="272">
        <f>SUMIF(BM8:BM14,1, X8:X14)</f>
        <v>0</v>
      </c>
      <c r="Y14" s="270">
        <f>SUMIF(BM8:BM14,1, Y8:Y14)</f>
        <v>0</v>
      </c>
      <c r="Z14" s="282">
        <f>SUMIF(BM8:BM14,1, Z8:Z14)</f>
        <v>0</v>
      </c>
      <c r="AA14" s="295"/>
      <c r="AB14" s="107"/>
      <c r="AC14" s="270">
        <f>SUMIF(BM8:BM14,1, AC8:AC14)</f>
        <v>0</v>
      </c>
      <c r="AD14" s="270">
        <f>SUMIF(BM8:BM14,1, AD8:AD14)</f>
        <v>0</v>
      </c>
      <c r="AE14" s="290"/>
      <c r="AF14" s="292"/>
      <c r="AG14" s="271">
        <f>SUMIF(BM8:BM14,1, AG8:AG14)</f>
        <v>0</v>
      </c>
      <c r="AH14" s="272">
        <f>SUMIF(BM8:BM14,1, AH8:AH14)</f>
        <v>0</v>
      </c>
      <c r="AI14" s="270">
        <f>SUMIF(BM8:BM14,1, AI8:AI14)</f>
        <v>0</v>
      </c>
      <c r="AJ14" s="270">
        <f>SUMIF(BM8:BM14,1, AJ8:AJ14)</f>
        <v>0</v>
      </c>
      <c r="AK14" s="290"/>
      <c r="AL14" s="271">
        <f>SUMIF(BM8:BM14,1, AL8:AL14)</f>
        <v>0</v>
      </c>
      <c r="AM14" s="272">
        <f>SUMIF(BM8:BM14,1, AM8:AM14)</f>
        <v>0</v>
      </c>
      <c r="AN14" s="270">
        <f>SUMIF(BM8:BM14,1, AN8:AN14)</f>
        <v>0</v>
      </c>
      <c r="AO14" s="270">
        <f>SUMIF(BM8:BM14,1, AO8:AO14)</f>
        <v>0</v>
      </c>
      <c r="AP14" s="290"/>
      <c r="AQ14" s="283">
        <f>SUMIF(BM8:BM14,1, AQ8:AQ14)</f>
        <v>0</v>
      </c>
      <c r="AR14" s="283">
        <f>SUMIF(BM8:BM14,1, AR8:AR14)</f>
        <v>0</v>
      </c>
      <c r="AS14" s="283">
        <f>SUMIF(BM8:BM14,1, AS8:AS14)</f>
        <v>0</v>
      </c>
      <c r="AT14" s="290"/>
      <c r="AU14" s="284">
        <f>SUMIF(BM8:BM14,1, AU8:AU14)</f>
        <v>0</v>
      </c>
      <c r="AV14" s="284">
        <f>SUMIF(BM8:BM14,1, AV8:AV14)</f>
        <v>0</v>
      </c>
      <c r="AW14" s="284">
        <f>SUMIF(BM8:BM14,1, AW8:AW14)</f>
        <v>0</v>
      </c>
      <c r="AX14" s="15"/>
      <c r="AY14" s="274"/>
      <c r="AZ14" s="15"/>
      <c r="BA14" s="15"/>
      <c r="BB14" s="275"/>
      <c r="BC14" s="274"/>
      <c r="BD14" s="274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298"/>
      <c r="BU14" s="298"/>
      <c r="BV14" s="298"/>
      <c r="BW14" s="298"/>
      <c r="BX14" s="15"/>
      <c r="BY14" s="15"/>
      <c r="BZ14" s="293"/>
      <c r="CA14" s="293"/>
      <c r="CB14" s="293"/>
      <c r="CC14" s="276"/>
      <c r="CD14" s="15"/>
      <c r="CE14" s="15"/>
      <c r="CF14" s="15"/>
      <c r="CG14" s="15"/>
      <c r="CH14" s="15"/>
      <c r="CI14" s="294"/>
      <c r="CJ14" s="277"/>
      <c r="CK14" s="277"/>
      <c r="CL14" s="277"/>
      <c r="CM14" s="277"/>
    </row>
    <row r="15" spans="1:102" x14ac:dyDescent="0.25">
      <c r="A15" s="286"/>
      <c r="B15" s="285" t="s">
        <v>643</v>
      </c>
      <c r="C15" s="120"/>
      <c r="D15" s="267"/>
      <c r="E15" s="279">
        <f>SUMIF(BM8:BM14,2, E8:E14)</f>
        <v>0</v>
      </c>
      <c r="F15" s="268">
        <f>SUMIF(BM8:BM14,2, F8:F14)</f>
        <v>0</v>
      </c>
      <c r="G15" s="287"/>
      <c r="H15" s="104"/>
      <c r="I15" s="280">
        <f>SUMIF(BM8:BM14,2, I8:I14)</f>
        <v>0</v>
      </c>
      <c r="J15" s="304"/>
      <c r="K15" s="98"/>
      <c r="L15" s="272">
        <f>SUMIF(BM8:BM14,2, L8:L14)</f>
        <v>21559.39</v>
      </c>
      <c r="M15" s="281">
        <f>SUMIF(BM8:BM14,2, M8:M14)</f>
        <v>21559.39</v>
      </c>
      <c r="N15" s="295"/>
      <c r="O15" s="99"/>
      <c r="P15" s="270">
        <f>SUMIF(BM8:BM14,2, P8:P14)</f>
        <v>0</v>
      </c>
      <c r="Q15" s="270">
        <f>SUMIF(BM8:BM14,2, Q8:Q14)</f>
        <v>-15134.6</v>
      </c>
      <c r="R15" s="270">
        <f>SUMIF(BM8:BM14,2, R8:R14)</f>
        <v>0</v>
      </c>
      <c r="S15" s="289"/>
      <c r="T15" s="290"/>
      <c r="U15" s="291"/>
      <c r="V15" s="271">
        <f>SUMIF(BM8:BM14,2, V8:V14)</f>
        <v>0</v>
      </c>
      <c r="W15" s="271">
        <f>SUMIF(BM8:BM14,2, W8:W14)</f>
        <v>0</v>
      </c>
      <c r="X15" s="272">
        <f>SUMIF(BM8:BM14,2, X8:X14)</f>
        <v>21559.39</v>
      </c>
      <c r="Y15" s="270">
        <f>SUMIF(BM8:BM14,2, Y8:Y14)</f>
        <v>0</v>
      </c>
      <c r="Z15" s="282">
        <f>SUMIF(BM8:BM14,2, Z8:Z14)</f>
        <v>-21559.39</v>
      </c>
      <c r="AA15" s="288"/>
      <c r="AB15" s="107"/>
      <c r="AC15" s="270">
        <f>SUMIF(BM8:BM14,2, AC8:AC14)</f>
        <v>-15134.6</v>
      </c>
      <c r="AD15" s="270">
        <f>SUMIF(BM8:BM14,2, AD8:AD14)</f>
        <v>0</v>
      </c>
      <c r="AE15" s="290"/>
      <c r="AF15" s="292"/>
      <c r="AG15" s="271">
        <f>SUMIF(BM8:BM14,2, AG8:AG14)</f>
        <v>0</v>
      </c>
      <c r="AH15" s="272">
        <f>SUMIF(BM8:BM14,2, AH8:AH14)</f>
        <v>0</v>
      </c>
      <c r="AI15" s="270">
        <f>SUMIF(BM8:BM14,2, AI8:AI14)</f>
        <v>0</v>
      </c>
      <c r="AJ15" s="270">
        <f>SUMIF(BM8:BM14,2, AJ8:AJ14)</f>
        <v>0</v>
      </c>
      <c r="AK15" s="290"/>
      <c r="AL15" s="271">
        <f>SUMIF(BM8:BM14,2, AL8:AL14)</f>
        <v>0</v>
      </c>
      <c r="AM15" s="272">
        <f>SUMIF(BM8:BM14,2, AM8:AM14)</f>
        <v>21559.39</v>
      </c>
      <c r="AN15" s="270">
        <f>SUMIF(BM8:BM14,2, AN8:AN14)</f>
        <v>0</v>
      </c>
      <c r="AO15" s="270">
        <f>SUMIF(BM8:BM14,2, AO8:AO14)</f>
        <v>0</v>
      </c>
      <c r="AP15" s="290"/>
      <c r="AQ15" s="283">
        <f>SUMIF(BM8:BM14,2, AQ8:AQ14)</f>
        <v>0</v>
      </c>
      <c r="AR15" s="283">
        <f>SUMIF(BM8:BM14,2, AR8:AR14)</f>
        <v>0</v>
      </c>
      <c r="AS15" s="283">
        <f>SUMIF(BM8:BM14,2, AS8:AS14)</f>
        <v>0</v>
      </c>
      <c r="AT15" s="290"/>
      <c r="AU15" s="284">
        <f>SUMIF(BM8:BM14,2, AU8:AU14)</f>
        <v>0</v>
      </c>
      <c r="AV15" s="284">
        <f>SUMIF(BM8:BM14,2, AV8:AV14)</f>
        <v>0</v>
      </c>
      <c r="AW15" s="284">
        <f>SUMIF(BM8:BM14,2, AW8:AW14)</f>
        <v>0</v>
      </c>
      <c r="AX15" s="15"/>
      <c r="AY15" s="274"/>
      <c r="AZ15" s="15"/>
      <c r="BA15" s="15"/>
      <c r="BB15" s="275"/>
      <c r="BC15" s="274"/>
      <c r="BD15" s="274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298"/>
      <c r="BU15" s="298"/>
      <c r="BV15" s="298"/>
      <c r="BW15" s="298"/>
      <c r="BX15" s="15"/>
      <c r="BY15" s="15"/>
      <c r="BZ15" s="293"/>
      <c r="CA15" s="293"/>
      <c r="CB15" s="293"/>
      <c r="CC15" s="276"/>
      <c r="CD15" s="15"/>
      <c r="CE15" s="15"/>
      <c r="CF15" s="15"/>
      <c r="CG15" s="15"/>
      <c r="CH15" s="15"/>
      <c r="CI15" s="294"/>
      <c r="CJ15" s="277"/>
      <c r="CK15" s="277"/>
      <c r="CL15" s="277"/>
      <c r="CM15" s="277"/>
    </row>
    <row r="16" spans="1:102" x14ac:dyDescent="0.25">
      <c r="A16" s="286"/>
      <c r="B16" s="285" t="s">
        <v>641</v>
      </c>
      <c r="C16" s="120"/>
      <c r="D16" s="267"/>
      <c r="E16" s="279">
        <f>SUM(E8:E15)/4</f>
        <v>0</v>
      </c>
      <c r="F16" s="268">
        <f>SUM(F8:F15)/4</f>
        <v>0</v>
      </c>
      <c r="G16" s="287"/>
      <c r="H16" s="104"/>
      <c r="I16" s="280">
        <f>SUM(I8:I15)/4</f>
        <v>0</v>
      </c>
      <c r="J16" s="304"/>
      <c r="K16" s="98"/>
      <c r="L16" s="272">
        <f>SUM(L8:L15)/4</f>
        <v>21559.39</v>
      </c>
      <c r="M16" s="281">
        <f>SUM(M8:M15)/4</f>
        <v>21559.39</v>
      </c>
      <c r="N16" s="295"/>
      <c r="O16" s="99"/>
      <c r="P16" s="270">
        <f>SUM(P8:P15)/4</f>
        <v>0</v>
      </c>
      <c r="Q16" s="270">
        <f>SUM(Q8:Q15)/4</f>
        <v>-15134.6</v>
      </c>
      <c r="R16" s="270">
        <f>SUM(R8:R15)/4</f>
        <v>0</v>
      </c>
      <c r="S16" s="289"/>
      <c r="T16" s="290"/>
      <c r="U16" s="291"/>
      <c r="V16" s="271">
        <f>SUM(V8:V15)/4</f>
        <v>0</v>
      </c>
      <c r="W16" s="271">
        <f>SUM(W8:W15)/4</f>
        <v>0</v>
      </c>
      <c r="X16" s="272">
        <f>SUM(X8:X15)/4</f>
        <v>21559.39</v>
      </c>
      <c r="Y16" s="270">
        <f>SUM(Y8:Y15)/4</f>
        <v>0</v>
      </c>
      <c r="Z16" s="282">
        <f>SUM(Z8:Z15)/4</f>
        <v>-21559.39</v>
      </c>
      <c r="AA16" s="295"/>
      <c r="AB16" s="107"/>
      <c r="AC16" s="270">
        <f>SUM(AC8:AC15)/4</f>
        <v>-15134.6</v>
      </c>
      <c r="AD16" s="270">
        <f>SUM(AD8:AD15)/4</f>
        <v>0</v>
      </c>
      <c r="AE16" s="290"/>
      <c r="AF16" s="292"/>
      <c r="AG16" s="271">
        <f>SUM(AG8:AG15)/4</f>
        <v>0</v>
      </c>
      <c r="AH16" s="272">
        <f>SUM(AH8:AH15)/4</f>
        <v>0</v>
      </c>
      <c r="AI16" s="270">
        <f>SUM(AI8:AI15)/4</f>
        <v>0</v>
      </c>
      <c r="AJ16" s="270">
        <f>SUM(AJ8:AJ15)/4</f>
        <v>0</v>
      </c>
      <c r="AK16" s="290"/>
      <c r="AL16" s="271">
        <f>SUM(AL8:AL15)/4</f>
        <v>0</v>
      </c>
      <c r="AM16" s="272">
        <f>SUM(AM8:AM15)/4</f>
        <v>21559.39</v>
      </c>
      <c r="AN16" s="270">
        <f>SUM(AN8:AN15)/4</f>
        <v>0</v>
      </c>
      <c r="AO16" s="270">
        <f>SUM(AO8:AO15)/4</f>
        <v>0</v>
      </c>
      <c r="AP16" s="290"/>
      <c r="AQ16" s="283">
        <f>SUM(AQ8:AQ15)/4</f>
        <v>0</v>
      </c>
      <c r="AR16" s="283">
        <f>SUM(AR8:AR15)/4</f>
        <v>0</v>
      </c>
      <c r="AS16" s="283">
        <f>SUM(AS8:AS15)/4</f>
        <v>0</v>
      </c>
      <c r="AT16" s="290"/>
      <c r="AU16" s="284">
        <f>SUM(AU8:AU15)/4</f>
        <v>0</v>
      </c>
      <c r="AV16" s="284">
        <f>SUM(AV8:AV15)/4</f>
        <v>0</v>
      </c>
      <c r="AW16" s="284">
        <f>SUM(AW8:AW15)/4</f>
        <v>0</v>
      </c>
      <c r="AX16" s="15"/>
      <c r="AY16" s="274"/>
      <c r="AZ16" s="15"/>
      <c r="BA16" s="15"/>
      <c r="BB16" s="275"/>
      <c r="BC16" s="274"/>
      <c r="BD16" s="274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8"/>
      <c r="BU16" s="298"/>
      <c r="BV16" s="298"/>
      <c r="BW16" s="298"/>
      <c r="BX16" s="15"/>
      <c r="BY16" s="15"/>
      <c r="BZ16" s="293"/>
      <c r="CA16" s="293"/>
      <c r="CB16" s="293"/>
      <c r="CC16" s="276"/>
      <c r="CD16" s="15"/>
      <c r="CE16" s="15"/>
      <c r="CF16" s="15"/>
      <c r="CG16" s="15"/>
      <c r="CH16" s="15"/>
      <c r="CI16" s="294"/>
      <c r="CJ16" s="277"/>
      <c r="CK16" s="277"/>
      <c r="CL16" s="277"/>
      <c r="CM16" s="277"/>
    </row>
    <row r="17" spans="1:91" x14ac:dyDescent="0.25">
      <c r="A17" s="231"/>
      <c r="B17" s="232"/>
      <c r="C17" s="232"/>
      <c r="D17" s="233"/>
      <c r="E17" s="234"/>
      <c r="F17" s="235"/>
      <c r="G17" s="236"/>
      <c r="H17" s="237"/>
      <c r="I17" s="238"/>
      <c r="J17" s="249"/>
      <c r="K17" s="240"/>
      <c r="L17" s="8"/>
      <c r="M17" s="241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2"/>
      <c r="AY17" s="243"/>
      <c r="AZ17" s="242"/>
      <c r="BA17" s="242"/>
      <c r="BB17" s="244"/>
      <c r="BC17" s="243"/>
      <c r="BD17" s="243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45"/>
      <c r="CC17" s="246"/>
      <c r="CD17" s="242"/>
      <c r="CE17" s="242"/>
      <c r="CF17" s="242"/>
      <c r="CG17" s="242"/>
      <c r="CH17" s="242"/>
      <c r="CI17" s="247"/>
      <c r="CJ17" s="248"/>
      <c r="CK17" s="248"/>
      <c r="CL17" s="248"/>
      <c r="CM17" s="248"/>
    </row>
    <row r="18" spans="1:91" x14ac:dyDescent="0.25">
      <c r="A18" s="231"/>
      <c r="B18" s="232"/>
      <c r="C18" s="232"/>
      <c r="D18" s="233"/>
      <c r="E18" s="234"/>
      <c r="F18" s="235"/>
      <c r="G18" s="236"/>
      <c r="H18" s="237"/>
      <c r="I18" s="238"/>
      <c r="J18" s="249"/>
      <c r="K18" s="240"/>
      <c r="L18" s="8"/>
      <c r="M18" s="241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31"/>
      <c r="B20" s="232"/>
      <c r="C20" s="232"/>
      <c r="D20" s="233"/>
      <c r="E20" s="234"/>
      <c r="F20" s="235"/>
      <c r="G20" s="236"/>
      <c r="H20" s="237"/>
      <c r="I20" s="238"/>
      <c r="J20" s="239"/>
      <c r="K20" s="240"/>
      <c r="L20" s="8"/>
      <c r="M20" s="241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2"/>
      <c r="AY20" s="243"/>
      <c r="AZ20" s="242"/>
      <c r="BA20" s="242"/>
      <c r="BB20" s="244"/>
      <c r="BC20" s="243"/>
      <c r="BD20" s="243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/>
      <c r="CD20" s="242"/>
      <c r="CE20" s="242"/>
      <c r="CF20" s="242"/>
      <c r="CG20" s="242"/>
      <c r="CH20" s="242"/>
      <c r="CI20" s="247"/>
      <c r="CJ20" s="248"/>
      <c r="CK20" s="248"/>
      <c r="CL20" s="248"/>
      <c r="CM20" s="248"/>
    </row>
    <row r="21" spans="1:91" x14ac:dyDescent="0.25">
      <c r="A21" s="231"/>
      <c r="B21" s="232"/>
      <c r="C21" s="232"/>
      <c r="D21" s="233"/>
      <c r="E21" s="234"/>
      <c r="F21" s="235"/>
      <c r="G21" s="236"/>
      <c r="H21" s="237"/>
      <c r="I21" s="238"/>
      <c r="J21" s="239"/>
      <c r="K21" s="240"/>
      <c r="L21" s="8"/>
      <c r="M21" s="241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2"/>
      <c r="AY21" s="243"/>
      <c r="AZ21" s="242"/>
      <c r="BA21" s="242"/>
      <c r="BB21" s="244"/>
      <c r="BC21" s="243"/>
      <c r="BD21" s="243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/>
      <c r="CD21" s="242"/>
      <c r="CE21" s="242"/>
      <c r="CF21" s="242"/>
      <c r="CG21" s="242"/>
      <c r="CH21" s="242"/>
      <c r="CI21" s="247"/>
      <c r="CJ21" s="248"/>
      <c r="CK21" s="248"/>
      <c r="CL21" s="248"/>
      <c r="CM21" s="248"/>
    </row>
    <row r="22" spans="1:91" x14ac:dyDescent="0.25">
      <c r="A22" s="231"/>
      <c r="B22" s="232"/>
      <c r="C22" s="232"/>
      <c r="D22" s="233"/>
      <c r="E22" s="234"/>
      <c r="F22" s="235"/>
      <c r="G22" s="236"/>
      <c r="H22" s="237"/>
      <c r="I22" s="238"/>
      <c r="J22" s="239"/>
      <c r="K22" s="240"/>
      <c r="L22" s="8"/>
      <c r="M22" s="241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2"/>
      <c r="AY22" s="243"/>
      <c r="AZ22" s="242"/>
      <c r="BA22" s="242"/>
      <c r="BB22" s="244"/>
      <c r="BC22" s="243"/>
      <c r="BD22" s="243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/>
      <c r="CD22" s="242"/>
      <c r="CE22" s="242"/>
      <c r="CF22" s="242"/>
      <c r="CG22" s="242"/>
      <c r="CH22" s="242"/>
      <c r="CI22" s="247"/>
      <c r="CJ22" s="248"/>
      <c r="CK22" s="248"/>
      <c r="CL22" s="248"/>
      <c r="CM22" s="248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cbQvLdYb+1DroF2uYQs/uaOVQAm5iWNOJLq/Ojo25D6QJuvaFDiV2WSCwn2D7Qb+zF0UyvcdXupzDq5CMKU+0Q==" saltValue="4qlYp/8S7FI8tX8gAuggVw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636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632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637</v>
      </c>
      <c r="B9" s="255" t="s">
        <v>638</v>
      </c>
      <c r="C9" s="255" t="s">
        <v>635</v>
      </c>
      <c r="D9" s="233"/>
      <c r="E9" s="234">
        <v>0</v>
      </c>
      <c r="F9" s="235">
        <v>0</v>
      </c>
      <c r="G9" s="256"/>
      <c r="H9" s="257"/>
      <c r="I9" s="237"/>
      <c r="J9" s="238">
        <v>0</v>
      </c>
      <c r="K9" s="249"/>
      <c r="L9" s="240"/>
      <c r="M9" s="8">
        <v>21559.39</v>
      </c>
      <c r="N9" s="241">
        <v>21559.39</v>
      </c>
      <c r="O9" s="72"/>
      <c r="P9" s="100"/>
      <c r="Q9" s="9"/>
      <c r="R9" s="9"/>
      <c r="S9" s="9"/>
      <c r="T9" s="258">
        <v>45992</v>
      </c>
      <c r="U9" s="10"/>
      <c r="V9" s="23"/>
      <c r="W9" s="11"/>
      <c r="X9" s="8">
        <v>21559.39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21559.39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0</v>
      </c>
      <c r="BA9" s="15">
        <v>21559.39</v>
      </c>
      <c r="BB9" s="15">
        <v>0</v>
      </c>
      <c r="BC9" s="15">
        <v>21559.39</v>
      </c>
      <c r="BD9" s="242">
        <v>0</v>
      </c>
      <c r="BE9" s="242">
        <v>0</v>
      </c>
      <c r="BF9" s="242"/>
      <c r="BG9" s="242">
        <v>2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634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633</v>
      </c>
      <c r="CC9" s="248">
        <v>21559.39</v>
      </c>
      <c r="CD9" s="248">
        <v>21559.39</v>
      </c>
      <c r="CE9" s="248">
        <v>0</v>
      </c>
      <c r="CF9" s="248">
        <v>0</v>
      </c>
    </row>
    <row r="10" spans="1:95" x14ac:dyDescent="0.25">
      <c r="A10" s="254"/>
      <c r="B10" s="93" t="s">
        <v>639</v>
      </c>
      <c r="C10" s="255"/>
      <c r="D10" s="233"/>
      <c r="E10" s="279">
        <f>SUM(E8:E9)</f>
        <v>0</v>
      </c>
      <c r="F10" s="268">
        <f>SUM(F8:F9)</f>
        <v>0</v>
      </c>
      <c r="G10" s="256"/>
      <c r="H10" s="257"/>
      <c r="I10" s="237"/>
      <c r="J10" s="280">
        <f>SUM(J8:J9)</f>
        <v>0</v>
      </c>
      <c r="K10" s="249"/>
      <c r="L10" s="240"/>
      <c r="M10" s="272">
        <f>SUM(M8:M9)</f>
        <v>21559.39</v>
      </c>
      <c r="N10" s="281">
        <f>SUM(N8:N9)</f>
        <v>21559.39</v>
      </c>
      <c r="O10" s="72"/>
      <c r="P10" s="100"/>
      <c r="Q10" s="270">
        <f>SUM(Q8:Q9)</f>
        <v>0</v>
      </c>
      <c r="R10" s="270">
        <f>SUM(R8:R9)</f>
        <v>0</v>
      </c>
      <c r="S10" s="270">
        <f>SUM(S8:S9)</f>
        <v>0</v>
      </c>
      <c r="T10" s="258"/>
      <c r="U10" s="10"/>
      <c r="V10" s="23"/>
      <c r="W10" s="271">
        <f>SUM(W8:W9)</f>
        <v>0</v>
      </c>
      <c r="X10" s="272">
        <f>SUM(X8:X9)</f>
        <v>21559.39</v>
      </c>
      <c r="Y10" s="270">
        <f>SUM(Y8:Y9)</f>
        <v>0</v>
      </c>
      <c r="Z10" s="270">
        <f>SUM(Z8:Z9)</f>
        <v>0</v>
      </c>
      <c r="AA10" s="270">
        <f>SUM(AA8:AA9)</f>
        <v>0</v>
      </c>
      <c r="AB10" s="10"/>
      <c r="AC10" s="24"/>
      <c r="AD10" s="271">
        <f>SUM(AD8:AD9)</f>
        <v>0</v>
      </c>
      <c r="AE10" s="272">
        <f>SUM(AE8:AE9)</f>
        <v>0</v>
      </c>
      <c r="AF10" s="270">
        <f>SUM(AF8:AF9)</f>
        <v>0</v>
      </c>
      <c r="AG10" s="10"/>
      <c r="AH10" s="271">
        <f>SUM(AH8:AH9)</f>
        <v>0</v>
      </c>
      <c r="AI10" s="272">
        <f>SUM(AI8:AI9)</f>
        <v>21559.39</v>
      </c>
      <c r="AJ10" s="270">
        <f>SUM(AJ8:AJ9)</f>
        <v>0</v>
      </c>
      <c r="AK10" s="10"/>
      <c r="AL10" s="283">
        <f>SUM(AL8:AL9)</f>
        <v>0</v>
      </c>
      <c r="AM10" s="283">
        <f>SUM(AM8:AM9)</f>
        <v>0</v>
      </c>
      <c r="AN10" s="283">
        <f>SUM(AN8:AN9)</f>
        <v>0</v>
      </c>
      <c r="AO10" s="10"/>
      <c r="AP10" s="284">
        <f>SUM(AP8:AP9)</f>
        <v>0</v>
      </c>
      <c r="AQ10" s="284">
        <f>SUM(AQ8:AQ9)</f>
        <v>0</v>
      </c>
      <c r="AR10" s="284">
        <f>SUM(AR8:AR9)</f>
        <v>0</v>
      </c>
      <c r="AS10" s="242"/>
      <c r="AT10" s="243"/>
      <c r="AU10" s="242"/>
      <c r="AV10" s="242"/>
      <c r="AW10" s="244"/>
      <c r="AX10" s="243"/>
      <c r="AY10" s="243"/>
      <c r="AZ10" s="242"/>
      <c r="BA10" s="242"/>
      <c r="BB10" s="242"/>
      <c r="BC10" s="242"/>
      <c r="BD10" s="242"/>
      <c r="BE10" s="242"/>
      <c r="BF10" s="242"/>
      <c r="BG10" s="242"/>
      <c r="BH10" s="242"/>
      <c r="BI10" s="242"/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/>
      <c r="BW10" s="242"/>
      <c r="BX10" s="248"/>
      <c r="BY10" s="248"/>
      <c r="BZ10" s="248"/>
      <c r="CA10" s="248"/>
      <c r="CB10" s="243"/>
      <c r="CC10" s="248"/>
      <c r="CD10" s="248"/>
      <c r="CE10" s="248"/>
      <c r="CF10" s="248"/>
    </row>
    <row r="11" spans="1:95" x14ac:dyDescent="0.25">
      <c r="A11" s="254"/>
      <c r="B11" s="255"/>
      <c r="C11" s="255"/>
      <c r="D11" s="233"/>
      <c r="E11" s="234"/>
      <c r="F11" s="235"/>
      <c r="G11" s="256"/>
      <c r="H11" s="257"/>
      <c r="I11" s="237"/>
      <c r="J11" s="238"/>
      <c r="K11" s="249"/>
      <c r="L11" s="240"/>
      <c r="M11" s="8"/>
      <c r="N11" s="241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2"/>
      <c r="AT11" s="243"/>
      <c r="AU11" s="242"/>
      <c r="AV11" s="242"/>
      <c r="AW11" s="244"/>
      <c r="AX11" s="243"/>
      <c r="AY11" s="243"/>
      <c r="AZ11" s="242"/>
      <c r="BA11" s="242"/>
      <c r="BB11" s="242"/>
      <c r="BC11" s="242"/>
      <c r="BD11" s="242"/>
      <c r="BE11" s="250"/>
      <c r="BF11" s="242"/>
      <c r="BG11" s="242"/>
      <c r="BH11" s="242"/>
      <c r="BI11" s="242"/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/>
      <c r="BW11" s="242"/>
      <c r="BX11" s="242"/>
      <c r="BY11" s="242"/>
      <c r="BZ11" s="242"/>
      <c r="CA11" s="242"/>
      <c r="CB11" s="243"/>
      <c r="CC11" s="248"/>
      <c r="CD11" s="248"/>
      <c r="CE11" s="248"/>
      <c r="CF11" s="248"/>
    </row>
    <row r="12" spans="1:95" x14ac:dyDescent="0.25">
      <c r="A12" s="254"/>
      <c r="B12" s="93" t="s">
        <v>640</v>
      </c>
      <c r="C12" s="255"/>
      <c r="D12" s="233"/>
      <c r="E12" s="279">
        <f>SUM(E7:E11)/2</f>
        <v>0</v>
      </c>
      <c r="F12" s="268">
        <f>SUM(F7:F11)/2</f>
        <v>0</v>
      </c>
      <c r="G12" s="256"/>
      <c r="H12" s="257"/>
      <c r="I12" s="237"/>
      <c r="J12" s="280">
        <f>SUM(J7:J11)/2</f>
        <v>0</v>
      </c>
      <c r="K12" s="249"/>
      <c r="L12" s="240"/>
      <c r="M12" s="272">
        <f>SUM(M7:M11)/2</f>
        <v>21559.39</v>
      </c>
      <c r="N12" s="281">
        <f>SUM(N7:N11)/2</f>
        <v>21559.39</v>
      </c>
      <c r="O12" s="71"/>
      <c r="P12" s="100"/>
      <c r="Q12" s="270">
        <f>SUM(Q7:Q11)/2</f>
        <v>0</v>
      </c>
      <c r="R12" s="270">
        <f>SUM(R7:R11)/2</f>
        <v>0</v>
      </c>
      <c r="S12" s="270">
        <f>SUM(S7:S11)/2</f>
        <v>0</v>
      </c>
      <c r="T12" s="258"/>
      <c r="U12" s="10"/>
      <c r="V12" s="23"/>
      <c r="W12" s="271">
        <f>SUM(W7:W11)/2</f>
        <v>0</v>
      </c>
      <c r="X12" s="272">
        <f>SUM(X7:X11)/2</f>
        <v>21559.39</v>
      </c>
      <c r="Y12" s="270">
        <f>SUM(Y7:Y11)/2</f>
        <v>0</v>
      </c>
      <c r="Z12" s="270">
        <f>SUM(Z7:Z11)/2</f>
        <v>0</v>
      </c>
      <c r="AA12" s="270">
        <f>SUM(AA7:AA11)/2</f>
        <v>0</v>
      </c>
      <c r="AB12" s="10"/>
      <c r="AC12" s="24"/>
      <c r="AD12" s="271">
        <f>SUM(AD7:AD11)/2</f>
        <v>0</v>
      </c>
      <c r="AE12" s="272">
        <f>SUM(AE7:AE11)/2</f>
        <v>0</v>
      </c>
      <c r="AF12" s="270">
        <f>SUM(AF7:AF11)/2</f>
        <v>0</v>
      </c>
      <c r="AG12" s="10"/>
      <c r="AH12" s="271">
        <f>SUM(AH7:AH11)/2</f>
        <v>0</v>
      </c>
      <c r="AI12" s="272">
        <f>SUM(AI7:AI11)/2</f>
        <v>21559.39</v>
      </c>
      <c r="AJ12" s="270">
        <f>SUM(AJ7:AJ11)/2</f>
        <v>0</v>
      </c>
      <c r="AK12" s="10"/>
      <c r="AL12" s="283">
        <f>SUM(AL7:AL11)/2</f>
        <v>0</v>
      </c>
      <c r="AM12" s="283">
        <f>SUM(AM7:AM11)/2</f>
        <v>0</v>
      </c>
      <c r="AN12" s="283">
        <f>SUM(AN7:AN11)/2</f>
        <v>0</v>
      </c>
      <c r="AO12" s="10"/>
      <c r="AP12" s="284">
        <f>SUM(AP7:AP11)/2</f>
        <v>0</v>
      </c>
      <c r="AQ12" s="284">
        <f>SUM(AQ7:AQ11)/2</f>
        <v>0</v>
      </c>
      <c r="AR12" s="284">
        <f>SUM(AR7:AR11)/2</f>
        <v>0</v>
      </c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/>
      <c r="B13" s="255"/>
      <c r="C13" s="255"/>
      <c r="D13" s="233"/>
      <c r="E13" s="234"/>
      <c r="F13" s="235"/>
      <c r="G13" s="256"/>
      <c r="H13" s="257"/>
      <c r="I13" s="237"/>
      <c r="J13" s="238"/>
      <c r="K13" s="249"/>
      <c r="L13" s="240"/>
      <c r="M13" s="8"/>
      <c r="N13" s="241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300"/>
      <c r="B14" s="299" t="s">
        <v>642</v>
      </c>
      <c r="C14" s="93"/>
      <c r="D14" s="267"/>
      <c r="E14" s="279">
        <f>SUMIF(BG8:BG14,1, E8:E14)</f>
        <v>0</v>
      </c>
      <c r="F14" s="268">
        <f>SUMIF(BG8:BG14,1, F8:F14)</f>
        <v>0</v>
      </c>
      <c r="G14" s="301"/>
      <c r="H14" s="113"/>
      <c r="I14" s="104"/>
      <c r="J14" s="280">
        <f>SUMIF(BG8:BG14,1, J8:J14)</f>
        <v>0</v>
      </c>
      <c r="K14" s="304"/>
      <c r="L14" s="98"/>
      <c r="M14" s="272">
        <f>SUMIF(BG8:BG14,1, M8:M14)</f>
        <v>0</v>
      </c>
      <c r="N14" s="281">
        <f>SUMIF(BG8:BG14,1, N8:N14)</f>
        <v>0</v>
      </c>
      <c r="O14" s="295"/>
      <c r="P14" s="99"/>
      <c r="Q14" s="270">
        <f>SUMIF(BG8:BG14,1, Q8:Q14)</f>
        <v>0</v>
      </c>
      <c r="R14" s="270">
        <f>SUMIF(BG8:BG14,1, R8:R14)</f>
        <v>0</v>
      </c>
      <c r="S14" s="270">
        <f>SUMIF(BG8:BG14,1, S8:S14)</f>
        <v>0</v>
      </c>
      <c r="T14" s="302"/>
      <c r="U14" s="290"/>
      <c r="V14" s="291"/>
      <c r="W14" s="271">
        <f>SUMIF(BG8:BG14,1, W8:W14)</f>
        <v>0</v>
      </c>
      <c r="X14" s="272">
        <f>SUMIF(BG8:BG14,1, X8:X14)</f>
        <v>0</v>
      </c>
      <c r="Y14" s="270">
        <f>SUMIF(BG8:BG14,1, Y8:Y14)</f>
        <v>0</v>
      </c>
      <c r="Z14" s="270">
        <f>SUMIF(BG8:BG14,1, Z8:Z14)</f>
        <v>0</v>
      </c>
      <c r="AA14" s="270">
        <f>SUMIF(BG8:BG14,1, AA8:AA14)</f>
        <v>0</v>
      </c>
      <c r="AB14" s="290"/>
      <c r="AC14" s="292"/>
      <c r="AD14" s="271">
        <f>SUMIF(BG8:BG14,1, AD8:AD14)</f>
        <v>0</v>
      </c>
      <c r="AE14" s="272">
        <f>SUMIF(BG8:BG14,1, AE8:AE14)</f>
        <v>0</v>
      </c>
      <c r="AF14" s="270">
        <f>SUMIF(BG8:BG14,1, AF8:AF14)</f>
        <v>0</v>
      </c>
      <c r="AG14" s="290"/>
      <c r="AH14" s="271">
        <f>SUMIF(BG8:BG14,1, AH8:AH14)</f>
        <v>0</v>
      </c>
      <c r="AI14" s="272">
        <f>SUMIF(BG8:BG14,1, AI8:AI14)</f>
        <v>0</v>
      </c>
      <c r="AJ14" s="270">
        <f>SUMIF(BG8:BG14,1, AJ8:AJ14)</f>
        <v>0</v>
      </c>
      <c r="AK14" s="290"/>
      <c r="AL14" s="283">
        <f>SUMIF(BG8:BG14,1, AL8:AL14)</f>
        <v>0</v>
      </c>
      <c r="AM14" s="283">
        <f>SUMIF(BG8:BG14,1, AM8:AM14)</f>
        <v>0</v>
      </c>
      <c r="AN14" s="283">
        <f>SUMIF(BG8:BG14,1, AN8:AN14)</f>
        <v>0</v>
      </c>
      <c r="AO14" s="290"/>
      <c r="AP14" s="284">
        <f>SUMIF(BG8:BG14,1, AP8:AP14)</f>
        <v>0</v>
      </c>
      <c r="AQ14" s="284">
        <f>SUMIF(BG8:BG14,1, AQ8:AQ14)</f>
        <v>0</v>
      </c>
      <c r="AR14" s="284">
        <f>SUMIF(BG8:BG14,1, AR8:AR14)</f>
        <v>0</v>
      </c>
      <c r="AS14" s="15"/>
      <c r="AT14" s="274"/>
      <c r="AU14" s="15"/>
      <c r="AV14" s="15"/>
      <c r="AW14" s="275"/>
      <c r="AX14" s="274"/>
      <c r="AY14" s="274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298"/>
      <c r="BO14" s="298"/>
      <c r="BP14" s="298"/>
      <c r="BQ14" s="298"/>
      <c r="BR14" s="293"/>
      <c r="BS14" s="293"/>
      <c r="BT14" s="15"/>
      <c r="BU14" s="15"/>
      <c r="BV14" s="276"/>
      <c r="BW14" s="15"/>
      <c r="BX14" s="15"/>
      <c r="BY14" s="15"/>
      <c r="BZ14" s="15"/>
      <c r="CA14" s="15"/>
      <c r="CB14" s="274"/>
      <c r="CC14" s="277"/>
      <c r="CD14" s="277"/>
      <c r="CE14" s="277"/>
      <c r="CF14" s="277"/>
    </row>
    <row r="15" spans="1:95" x14ac:dyDescent="0.25">
      <c r="A15" s="300"/>
      <c r="B15" s="299" t="s">
        <v>643</v>
      </c>
      <c r="C15" s="93"/>
      <c r="D15" s="267"/>
      <c r="E15" s="279">
        <f>SUMIF(BG8:BG14,2, E8:E14)</f>
        <v>0</v>
      </c>
      <c r="F15" s="268">
        <f>SUMIF(BG8:BG14,2, F8:F14)</f>
        <v>0</v>
      </c>
      <c r="G15" s="301"/>
      <c r="H15" s="113"/>
      <c r="I15" s="104"/>
      <c r="J15" s="280">
        <f>SUMIF(BG8:BG14,2, J8:J14)</f>
        <v>0</v>
      </c>
      <c r="K15" s="304"/>
      <c r="L15" s="98"/>
      <c r="M15" s="272">
        <f>SUMIF(BG8:BG14,2, M8:M14)</f>
        <v>21559.39</v>
      </c>
      <c r="N15" s="281">
        <f>SUMIF(BG8:BG14,2, N8:N14)</f>
        <v>21559.39</v>
      </c>
      <c r="O15" s="295"/>
      <c r="P15" s="99"/>
      <c r="Q15" s="270">
        <f>SUMIF(BG8:BG14,2, Q8:Q14)</f>
        <v>0</v>
      </c>
      <c r="R15" s="270">
        <f>SUMIF(BG8:BG14,2, R8:R14)</f>
        <v>0</v>
      </c>
      <c r="S15" s="270">
        <f>SUMIF(BG8:BG14,2, S8:S14)</f>
        <v>0</v>
      </c>
      <c r="T15" s="302"/>
      <c r="U15" s="290"/>
      <c r="V15" s="291"/>
      <c r="W15" s="271">
        <f>SUMIF(BG8:BG14,2, W8:W14)</f>
        <v>0</v>
      </c>
      <c r="X15" s="272">
        <f>SUMIF(BG8:BG14,2, X8:X14)</f>
        <v>21559.39</v>
      </c>
      <c r="Y15" s="270">
        <f>SUMIF(BG8:BG14,2, Y8:Y14)</f>
        <v>0</v>
      </c>
      <c r="Z15" s="270">
        <f>SUMIF(BG8:BG14,2, Z8:Z14)</f>
        <v>0</v>
      </c>
      <c r="AA15" s="270">
        <f>SUMIF(BG8:BG14,2, AA8:AA14)</f>
        <v>0</v>
      </c>
      <c r="AB15" s="290"/>
      <c r="AC15" s="292"/>
      <c r="AD15" s="271">
        <f>SUMIF(BG8:BG14,2, AD8:AD14)</f>
        <v>0</v>
      </c>
      <c r="AE15" s="272">
        <f>SUMIF(BG8:BG14,2, AE8:AE14)</f>
        <v>0</v>
      </c>
      <c r="AF15" s="270">
        <f>SUMIF(BG8:BG14,2, AF8:AF14)</f>
        <v>0</v>
      </c>
      <c r="AG15" s="290"/>
      <c r="AH15" s="271">
        <f>SUMIF(BG8:BG14,2, AH8:AH14)</f>
        <v>0</v>
      </c>
      <c r="AI15" s="272">
        <f>SUMIF(BG8:BG14,2, AI8:AI14)</f>
        <v>21559.39</v>
      </c>
      <c r="AJ15" s="270">
        <f>SUMIF(BG8:BG14,2, AJ8:AJ14)</f>
        <v>0</v>
      </c>
      <c r="AK15" s="290"/>
      <c r="AL15" s="283">
        <f>SUMIF(BG8:BG14,2, AL8:AL14)</f>
        <v>0</v>
      </c>
      <c r="AM15" s="283">
        <f>SUMIF(BG8:BG14,2, AM8:AM14)</f>
        <v>0</v>
      </c>
      <c r="AN15" s="283">
        <f>SUMIF(BG8:BG14,2, AN8:AN14)</f>
        <v>0</v>
      </c>
      <c r="AO15" s="290"/>
      <c r="AP15" s="284">
        <f>SUMIF(BG8:BG14,2, AP8:AP14)</f>
        <v>0</v>
      </c>
      <c r="AQ15" s="284">
        <f>SUMIF(BG8:BG14,2, AQ8:AQ14)</f>
        <v>0</v>
      </c>
      <c r="AR15" s="284">
        <f>SUMIF(BG8:BG14,2, AR8:AR14)</f>
        <v>0</v>
      </c>
      <c r="AS15" s="15"/>
      <c r="AT15" s="274"/>
      <c r="AU15" s="15"/>
      <c r="AV15" s="15"/>
      <c r="AW15" s="275"/>
      <c r="AX15" s="274"/>
      <c r="AY15" s="274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298"/>
      <c r="BO15" s="298"/>
      <c r="BP15" s="298"/>
      <c r="BQ15" s="298"/>
      <c r="BR15" s="293"/>
      <c r="BS15" s="293"/>
      <c r="BT15" s="15"/>
      <c r="BU15" s="15"/>
      <c r="BV15" s="276"/>
      <c r="BW15" s="15"/>
      <c r="BX15" s="15"/>
      <c r="BY15" s="15"/>
      <c r="BZ15" s="15"/>
      <c r="CA15" s="15"/>
      <c r="CB15" s="274"/>
      <c r="CC15" s="277"/>
      <c r="CD15" s="277"/>
      <c r="CE15" s="277"/>
      <c r="CF15" s="277"/>
    </row>
    <row r="16" spans="1:95" x14ac:dyDescent="0.25">
      <c r="A16" s="300"/>
      <c r="B16" s="299" t="s">
        <v>641</v>
      </c>
      <c r="C16" s="93"/>
      <c r="D16" s="267"/>
      <c r="E16" s="279">
        <f>SUM(E8:E15)/4</f>
        <v>0</v>
      </c>
      <c r="F16" s="268">
        <f>SUM(F8:F15)/4</f>
        <v>0</v>
      </c>
      <c r="G16" s="301"/>
      <c r="H16" s="113"/>
      <c r="I16" s="104"/>
      <c r="J16" s="280">
        <f>SUM(J8:J15)/4</f>
        <v>0</v>
      </c>
      <c r="K16" s="304"/>
      <c r="L16" s="98"/>
      <c r="M16" s="272">
        <f>SUM(M8:M15)/4</f>
        <v>21559.39</v>
      </c>
      <c r="N16" s="281">
        <f>SUM(N8:N15)/4</f>
        <v>21559.39</v>
      </c>
      <c r="O16" s="295"/>
      <c r="P16" s="99"/>
      <c r="Q16" s="270">
        <f>SUM(Q8:Q15)/4</f>
        <v>0</v>
      </c>
      <c r="R16" s="270">
        <f>SUM(R8:R15)/4</f>
        <v>0</v>
      </c>
      <c r="S16" s="270">
        <f>SUM(S8:S15)/4</f>
        <v>0</v>
      </c>
      <c r="T16" s="302"/>
      <c r="U16" s="290"/>
      <c r="V16" s="291"/>
      <c r="W16" s="271">
        <f>SUM(W8:W15)/4</f>
        <v>0</v>
      </c>
      <c r="X16" s="272">
        <f>SUM(X8:X15)/4</f>
        <v>21559.39</v>
      </c>
      <c r="Y16" s="270">
        <f>SUM(Y8:Y15)/4</f>
        <v>0</v>
      </c>
      <c r="Z16" s="270">
        <f>SUM(Z8:Z15)/4</f>
        <v>0</v>
      </c>
      <c r="AA16" s="270">
        <f>SUM(AA8:AA15)/4</f>
        <v>0</v>
      </c>
      <c r="AB16" s="290"/>
      <c r="AC16" s="292"/>
      <c r="AD16" s="271">
        <f>SUM(AD8:AD15)/4</f>
        <v>0</v>
      </c>
      <c r="AE16" s="272">
        <f>SUM(AE8:AE15)/4</f>
        <v>0</v>
      </c>
      <c r="AF16" s="270">
        <f>SUM(AF8:AF15)/4</f>
        <v>0</v>
      </c>
      <c r="AG16" s="290"/>
      <c r="AH16" s="271">
        <f>SUM(AH8:AH15)/4</f>
        <v>0</v>
      </c>
      <c r="AI16" s="272">
        <f>SUM(AI8:AI15)/4</f>
        <v>21559.39</v>
      </c>
      <c r="AJ16" s="270">
        <f>SUM(AJ8:AJ15)/4</f>
        <v>0</v>
      </c>
      <c r="AK16" s="290"/>
      <c r="AL16" s="283">
        <f>SUM(AL8:AL15)/4</f>
        <v>0</v>
      </c>
      <c r="AM16" s="283">
        <f>SUM(AM8:AM15)/4</f>
        <v>0</v>
      </c>
      <c r="AN16" s="283">
        <f>SUM(AN8:AN15)/4</f>
        <v>0</v>
      </c>
      <c r="AO16" s="290"/>
      <c r="AP16" s="284">
        <f>SUM(AP8:AP15)/4</f>
        <v>0</v>
      </c>
      <c r="AQ16" s="284">
        <f>SUM(AQ8:AQ15)/4</f>
        <v>0</v>
      </c>
      <c r="AR16" s="284">
        <f>SUM(AR8:AR15)/4</f>
        <v>0</v>
      </c>
      <c r="AS16" s="15"/>
      <c r="AT16" s="274"/>
      <c r="AU16" s="15"/>
      <c r="AV16" s="15"/>
      <c r="AW16" s="275"/>
      <c r="AX16" s="274"/>
      <c r="AY16" s="274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8"/>
      <c r="BO16" s="298"/>
      <c r="BP16" s="298"/>
      <c r="BQ16" s="298"/>
      <c r="BR16" s="293"/>
      <c r="BS16" s="293"/>
      <c r="BT16" s="15"/>
      <c r="BU16" s="15"/>
      <c r="BV16" s="276"/>
      <c r="BW16" s="15"/>
      <c r="BX16" s="15"/>
      <c r="BY16" s="15"/>
      <c r="BZ16" s="15"/>
      <c r="CA16" s="15"/>
      <c r="CB16" s="274"/>
      <c r="CC16" s="277"/>
      <c r="CD16" s="277"/>
      <c r="CE16" s="277"/>
      <c r="CF16" s="277"/>
    </row>
    <row r="17" spans="1:84" x14ac:dyDescent="0.25">
      <c r="A17" s="254"/>
      <c r="B17" s="255"/>
      <c r="C17" s="255"/>
      <c r="D17" s="233"/>
      <c r="E17" s="234"/>
      <c r="F17" s="235"/>
      <c r="G17" s="256"/>
      <c r="H17" s="257"/>
      <c r="I17" s="237"/>
      <c r="J17" s="238"/>
      <c r="K17" s="249"/>
      <c r="L17" s="240"/>
      <c r="M17" s="8"/>
      <c r="N17" s="241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2"/>
      <c r="AT17" s="243"/>
      <c r="AU17" s="242"/>
      <c r="AV17" s="242"/>
      <c r="AW17" s="244"/>
      <c r="AX17" s="243"/>
      <c r="AY17" s="243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/>
      <c r="BW17" s="242"/>
      <c r="BX17" s="242"/>
      <c r="BY17" s="242"/>
      <c r="BZ17" s="242"/>
      <c r="CA17" s="242"/>
      <c r="CB17" s="243"/>
      <c r="CC17" s="248"/>
      <c r="CD17" s="248"/>
      <c r="CE17" s="248"/>
      <c r="CF17" s="248"/>
    </row>
    <row r="18" spans="1:84" x14ac:dyDescent="0.25">
      <c r="A18" s="254"/>
      <c r="B18" s="255"/>
      <c r="C18" s="255"/>
      <c r="D18" s="233"/>
      <c r="E18" s="234"/>
      <c r="F18" s="235"/>
      <c r="G18" s="256"/>
      <c r="H18" s="257"/>
      <c r="I18" s="237"/>
      <c r="J18" s="238"/>
      <c r="K18" s="249"/>
      <c r="L18" s="240"/>
      <c r="M18" s="8"/>
      <c r="N18" s="241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254"/>
      <c r="B20" s="255"/>
      <c r="C20" s="255"/>
      <c r="D20" s="233"/>
      <c r="E20" s="234"/>
      <c r="F20" s="235"/>
      <c r="G20" s="256"/>
      <c r="H20" s="257"/>
      <c r="I20" s="237"/>
      <c r="J20" s="238"/>
      <c r="K20" s="239"/>
      <c r="L20" s="240"/>
      <c r="M20" s="8"/>
      <c r="N20" s="241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2"/>
      <c r="AT20" s="243"/>
      <c r="AU20" s="242"/>
      <c r="AV20" s="242"/>
      <c r="AW20" s="244"/>
      <c r="AX20" s="243"/>
      <c r="AY20" s="243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/>
      <c r="BW20" s="242"/>
      <c r="BX20" s="242"/>
      <c r="BY20" s="242"/>
      <c r="BZ20" s="242"/>
      <c r="CA20" s="242"/>
      <c r="CB20" s="243"/>
      <c r="CC20" s="248"/>
      <c r="CD20" s="248"/>
      <c r="CE20" s="248"/>
      <c r="CF20" s="248"/>
    </row>
    <row r="21" spans="1:84" x14ac:dyDescent="0.25">
      <c r="A21" s="254"/>
      <c r="B21" s="255"/>
      <c r="C21" s="255"/>
      <c r="D21" s="233"/>
      <c r="E21" s="234"/>
      <c r="F21" s="235"/>
      <c r="G21" s="256"/>
      <c r="H21" s="257"/>
      <c r="I21" s="237"/>
      <c r="J21" s="238"/>
      <c r="K21" s="239"/>
      <c r="L21" s="240"/>
      <c r="M21" s="8"/>
      <c r="N21" s="241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2"/>
      <c r="AT21" s="243"/>
      <c r="AU21" s="242"/>
      <c r="AV21" s="242"/>
      <c r="AW21" s="244"/>
      <c r="AX21" s="243"/>
      <c r="AY21" s="243"/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/>
      <c r="BW21" s="242"/>
      <c r="BX21" s="242"/>
      <c r="BY21" s="242"/>
      <c r="BZ21" s="242"/>
      <c r="CA21" s="242"/>
      <c r="CB21" s="243"/>
      <c r="CC21" s="248"/>
      <c r="CD21" s="248"/>
      <c r="CE21" s="248"/>
      <c r="CF21" s="248"/>
    </row>
    <row r="22" spans="1:84" x14ac:dyDescent="0.25">
      <c r="A22" s="254"/>
      <c r="B22" s="255"/>
      <c r="C22" s="255"/>
      <c r="D22" s="233"/>
      <c r="E22" s="234"/>
      <c r="F22" s="235"/>
      <c r="G22" s="256"/>
      <c r="H22" s="257"/>
      <c r="I22" s="237"/>
      <c r="J22" s="238"/>
      <c r="K22" s="239"/>
      <c r="L22" s="240"/>
      <c r="M22" s="8"/>
      <c r="N22" s="241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2"/>
      <c r="AT22" s="243"/>
      <c r="AU22" s="242"/>
      <c r="AV22" s="242"/>
      <c r="AW22" s="244"/>
      <c r="AX22" s="243"/>
      <c r="AY22" s="243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/>
      <c r="BW22" s="242"/>
      <c r="BX22" s="242"/>
      <c r="BY22" s="242"/>
      <c r="BZ22" s="242"/>
      <c r="CA22" s="242"/>
      <c r="CB22" s="243"/>
      <c r="CC22" s="248"/>
      <c r="CD22" s="248"/>
      <c r="CE22" s="248"/>
      <c r="CF22" s="248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dCwaVKldAtPEN7e82yzmihP4W1V5tx8orSoSwjR6KgKWkSwyn9bQ9CUQ7tJ4O6wlrYixRnBTn+akn8cNB3SmHg==" saltValue="04RvPuG0mT7DQii8s5v8k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5"/>
      <c r="B10" s="266"/>
      <c r="C10" s="266"/>
      <c r="D10" s="267"/>
      <c r="E10" s="268"/>
      <c r="F10" s="269"/>
      <c r="G10" s="268"/>
      <c r="H10" s="269"/>
      <c r="I10" s="268"/>
      <c r="J10" s="270"/>
      <c r="K10" s="270"/>
      <c r="L10" s="270"/>
      <c r="M10" s="15"/>
      <c r="N10" s="270"/>
      <c r="O10" s="270"/>
      <c r="P10" s="270"/>
      <c r="Q10" s="15"/>
      <c r="R10" s="271"/>
      <c r="S10" s="271"/>
      <c r="T10" s="271"/>
      <c r="U10" s="272"/>
      <c r="V10" s="272"/>
      <c r="W10" s="272"/>
      <c r="X10" s="270"/>
      <c r="Y10" s="270"/>
      <c r="Z10" s="270"/>
      <c r="AA10" s="273"/>
      <c r="AB10" s="274"/>
      <c r="AC10" s="15"/>
      <c r="AD10" s="15"/>
      <c r="AE10" s="275"/>
      <c r="AF10" s="274"/>
      <c r="AG10" s="274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6"/>
      <c r="BE10" s="15"/>
      <c r="BF10" s="277"/>
      <c r="BG10" s="277"/>
      <c r="BH10" s="277"/>
      <c r="BI10" s="277"/>
      <c r="BJ10" s="274"/>
      <c r="BK10" s="277"/>
      <c r="BL10" s="277"/>
      <c r="BM10" s="277"/>
      <c r="BN10" s="277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5"/>
      <c r="B12" s="278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3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78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78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78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yRay4mS3LvUpSXMS/biNpcrHnBA4+0qPt0+o79NaunpLrZHSAYLiFPu0Mqwj+YLxSOqfh6Wm5pPeXPtJbLInfA==" saltValue="FxH+6pL0eN4FWMlUnkAZpw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WTUGgbVPi3ERY+Wfwy9ExBWjeZnOF367cpVljCC3pWkEeKuPFCJRHRQBTzsHl9NTrh4DFKszONOsYEEnkB8ZUw==" saltValue="Ur+2GCrjFBTEIRAcHuNq3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EaVVZ+uUeyZDTgPepn66nMVnuzCoaoMX4crWiRIjo0vuDV2seS3v4c4PGWViw9nyx0ZeYQwtt/YY7vPUfVAgCg==" saltValue="Nd6Na8pfx1IjVtsZQlpiz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