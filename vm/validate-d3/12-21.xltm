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A79E4558-1137-4ABD-9F80-45E83A4C0AE5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85" i="82" l="1"/>
  <c r="AR84" i="82"/>
  <c r="AQ85" i="82"/>
  <c r="AQ84" i="82"/>
  <c r="AP85" i="82"/>
  <c r="AP84" i="82"/>
  <c r="AN85" i="82"/>
  <c r="AN84" i="82"/>
  <c r="AM85" i="82"/>
  <c r="AM84" i="82"/>
  <c r="AL85" i="82"/>
  <c r="AL84" i="82"/>
  <c r="AJ85" i="82"/>
  <c r="AJ84" i="82"/>
  <c r="AI85" i="82"/>
  <c r="AI84" i="82"/>
  <c r="AH85" i="82"/>
  <c r="AH84" i="82"/>
  <c r="AF85" i="82"/>
  <c r="AF84" i="82"/>
  <c r="AE85" i="82"/>
  <c r="AE84" i="82"/>
  <c r="AD85" i="82"/>
  <c r="AD84" i="82"/>
  <c r="AA85" i="82"/>
  <c r="AA84" i="82"/>
  <c r="Z85" i="82"/>
  <c r="Z84" i="82"/>
  <c r="Y85" i="82"/>
  <c r="Y84" i="82"/>
  <c r="X85" i="82"/>
  <c r="X84" i="82"/>
  <c r="W85" i="82"/>
  <c r="W84" i="82"/>
  <c r="S85" i="82"/>
  <c r="S84" i="82"/>
  <c r="R85" i="82"/>
  <c r="R84" i="82"/>
  <c r="Q85" i="82"/>
  <c r="Q84" i="82"/>
  <c r="N85" i="82"/>
  <c r="N84" i="82"/>
  <c r="M85" i="82"/>
  <c r="M84" i="82"/>
  <c r="J85" i="82"/>
  <c r="J84" i="82"/>
  <c r="F85" i="82"/>
  <c r="F84" i="82"/>
  <c r="E85" i="82"/>
  <c r="E84" i="82"/>
  <c r="AR82" i="82"/>
  <c r="AM82" i="82"/>
  <c r="AH82" i="82"/>
  <c r="AA82" i="82"/>
  <c r="W82" i="82"/>
  <c r="N82" i="82"/>
  <c r="E82" i="82"/>
  <c r="AR80" i="82"/>
  <c r="AQ80" i="82"/>
  <c r="AP80" i="82"/>
  <c r="AN80" i="82"/>
  <c r="AN82" i="82" s="1"/>
  <c r="AM80" i="82"/>
  <c r="AL80" i="82"/>
  <c r="AJ80" i="82"/>
  <c r="AI80" i="82"/>
  <c r="AI82" i="82" s="1"/>
  <c r="AH80" i="82"/>
  <c r="AF80" i="82"/>
  <c r="AE80" i="82"/>
  <c r="AD80" i="82"/>
  <c r="AD82" i="82" s="1"/>
  <c r="AA80" i="82"/>
  <c r="Z80" i="82"/>
  <c r="Y80" i="82"/>
  <c r="X80" i="82"/>
  <c r="X82" i="82" s="1"/>
  <c r="W80" i="82"/>
  <c r="S80" i="82"/>
  <c r="R80" i="82"/>
  <c r="Q80" i="82"/>
  <c r="Q82" i="82" s="1"/>
  <c r="N80" i="82"/>
  <c r="N86" i="82" s="1"/>
  <c r="M80" i="82"/>
  <c r="J80" i="82"/>
  <c r="F80" i="82"/>
  <c r="F82" i="82" s="1"/>
  <c r="E80" i="82"/>
  <c r="E86" i="82" s="1"/>
  <c r="AR25" i="82"/>
  <c r="AR86" i="82" s="1"/>
  <c r="AQ25" i="82"/>
  <c r="AQ82" i="82" s="1"/>
  <c r="AQ86" i="82" s="1"/>
  <c r="AP25" i="82"/>
  <c r="AP82" i="82" s="1"/>
  <c r="AN25" i="82"/>
  <c r="AN86" i="82" s="1"/>
  <c r="AM25" i="82"/>
  <c r="AM86" i="82" s="1"/>
  <c r="AL25" i="82"/>
  <c r="AL82" i="82" s="1"/>
  <c r="AL86" i="82" s="1"/>
  <c r="AJ25" i="82"/>
  <c r="AJ82" i="82" s="1"/>
  <c r="AI25" i="82"/>
  <c r="AI86" i="82" s="1"/>
  <c r="AH25" i="82"/>
  <c r="AH86" i="82" s="1"/>
  <c r="AF25" i="82"/>
  <c r="AF82" i="82" s="1"/>
  <c r="AF86" i="82" s="1"/>
  <c r="AE25" i="82"/>
  <c r="AE82" i="82" s="1"/>
  <c r="AD25" i="82"/>
  <c r="AD86" i="82" s="1"/>
  <c r="AA25" i="82"/>
  <c r="AA86" i="82" s="1"/>
  <c r="Z25" i="82"/>
  <c r="Z82" i="82" s="1"/>
  <c r="Z86" i="82" s="1"/>
  <c r="Y25" i="82"/>
  <c r="X25" i="82"/>
  <c r="X86" i="82" s="1"/>
  <c r="W25" i="82"/>
  <c r="W86" i="82" s="1"/>
  <c r="S25" i="82"/>
  <c r="S82" i="82" s="1"/>
  <c r="S86" i="82" s="1"/>
  <c r="R25" i="82"/>
  <c r="Q25" i="82"/>
  <c r="Q86" i="82" s="1"/>
  <c r="N25" i="82"/>
  <c r="M25" i="82"/>
  <c r="M82" i="82" s="1"/>
  <c r="M86" i="82" s="1"/>
  <c r="J25" i="82"/>
  <c r="F25" i="82"/>
  <c r="F86" i="82" s="1"/>
  <c r="E25" i="82"/>
  <c r="AW85" i="75"/>
  <c r="AW84" i="75"/>
  <c r="AV85" i="75"/>
  <c r="AV84" i="75"/>
  <c r="AU85" i="75"/>
  <c r="AU84" i="75"/>
  <c r="AS85" i="75"/>
  <c r="AS84" i="75"/>
  <c r="AR85" i="75"/>
  <c r="AR84" i="75"/>
  <c r="AQ85" i="75"/>
  <c r="AQ84" i="75"/>
  <c r="AN85" i="75"/>
  <c r="AN84" i="75"/>
  <c r="AM85" i="75"/>
  <c r="AM84" i="75"/>
  <c r="AL85" i="75"/>
  <c r="AL84" i="75"/>
  <c r="AI85" i="75"/>
  <c r="AI84" i="75"/>
  <c r="AH85" i="75"/>
  <c r="AH84" i="75"/>
  <c r="AG85" i="75"/>
  <c r="AG84" i="75"/>
  <c r="AD85" i="75"/>
  <c r="AD84" i="75"/>
  <c r="AC85" i="75"/>
  <c r="AC84" i="75"/>
  <c r="AO85" i="75"/>
  <c r="AO84" i="75"/>
  <c r="AJ85" i="75"/>
  <c r="AJ84" i="75"/>
  <c r="Z85" i="75"/>
  <c r="Z84" i="75"/>
  <c r="V85" i="75"/>
  <c r="V84" i="75"/>
  <c r="Y85" i="75"/>
  <c r="Y84" i="75"/>
  <c r="X85" i="75"/>
  <c r="X84" i="75"/>
  <c r="W85" i="75"/>
  <c r="W84" i="75"/>
  <c r="R85" i="75"/>
  <c r="R84" i="75"/>
  <c r="Q85" i="75"/>
  <c r="Q84" i="75"/>
  <c r="P85" i="75"/>
  <c r="P84" i="75"/>
  <c r="M85" i="75"/>
  <c r="M84" i="75"/>
  <c r="L85" i="75"/>
  <c r="L84" i="75"/>
  <c r="I85" i="75"/>
  <c r="I84" i="75"/>
  <c r="F85" i="75"/>
  <c r="F84" i="75"/>
  <c r="E85" i="75"/>
  <c r="E84" i="75"/>
  <c r="AW80" i="75"/>
  <c r="AV80" i="75"/>
  <c r="AU80" i="75"/>
  <c r="AS80" i="75"/>
  <c r="AR80" i="75"/>
  <c r="AQ80" i="75"/>
  <c r="AN80" i="75"/>
  <c r="AM80" i="75"/>
  <c r="AL80" i="75"/>
  <c r="AI80" i="75"/>
  <c r="AH80" i="75"/>
  <c r="AG80" i="75"/>
  <c r="AD80" i="75"/>
  <c r="AC80" i="75"/>
  <c r="AO80" i="75"/>
  <c r="AJ80" i="75"/>
  <c r="Z80" i="75"/>
  <c r="V80" i="75"/>
  <c r="Y80" i="75"/>
  <c r="X80" i="75"/>
  <c r="W80" i="75"/>
  <c r="R80" i="75"/>
  <c r="Q80" i="75"/>
  <c r="P80" i="75"/>
  <c r="M80" i="75"/>
  <c r="L80" i="75"/>
  <c r="I80" i="75"/>
  <c r="F80" i="75"/>
  <c r="E80" i="75"/>
  <c r="AW25" i="75"/>
  <c r="AV25" i="75"/>
  <c r="AV82" i="75" s="1"/>
  <c r="AU25" i="75"/>
  <c r="AU82" i="75" s="1"/>
  <c r="AS25" i="75"/>
  <c r="AR25" i="75"/>
  <c r="AQ25" i="75"/>
  <c r="AQ82" i="75" s="1"/>
  <c r="AN25" i="75"/>
  <c r="AN82" i="75" s="1"/>
  <c r="AM25" i="75"/>
  <c r="AL25" i="75"/>
  <c r="AI25" i="75"/>
  <c r="AI82" i="75" s="1"/>
  <c r="AH25" i="75"/>
  <c r="AH82" i="75" s="1"/>
  <c r="AG25" i="75"/>
  <c r="AD25" i="75"/>
  <c r="AC25" i="75"/>
  <c r="AC82" i="75" s="1"/>
  <c r="AO25" i="75"/>
  <c r="AO82" i="75" s="1"/>
  <c r="AJ25" i="75"/>
  <c r="Z25" i="75"/>
  <c r="V25" i="75"/>
  <c r="V82" i="75" s="1"/>
  <c r="Y25" i="75"/>
  <c r="Y82" i="75" s="1"/>
  <c r="X25" i="75"/>
  <c r="W25" i="75"/>
  <c r="R25" i="75"/>
  <c r="R82" i="75" s="1"/>
  <c r="Q25" i="75"/>
  <c r="Q82" i="75" s="1"/>
  <c r="P25" i="75"/>
  <c r="M25" i="75"/>
  <c r="L25" i="75"/>
  <c r="L82" i="75" s="1"/>
  <c r="I25" i="75"/>
  <c r="I82" i="75" s="1"/>
  <c r="F25" i="75"/>
  <c r="E25" i="75"/>
  <c r="AS6" i="75"/>
  <c r="AC6" i="75"/>
  <c r="Y86" i="82" l="1"/>
  <c r="AE86" i="82"/>
  <c r="AJ86" i="82"/>
  <c r="AP86" i="82"/>
  <c r="J82" i="82"/>
  <c r="J86" i="82" s="1"/>
  <c r="R82" i="82"/>
  <c r="R86" i="82" s="1"/>
  <c r="Y82" i="82"/>
  <c r="E86" i="75"/>
  <c r="M86" i="75"/>
  <c r="AD86" i="75"/>
  <c r="AL86" i="75"/>
  <c r="P86" i="75"/>
  <c r="AM86" i="75"/>
  <c r="E82" i="75"/>
  <c r="M82" i="75"/>
  <c r="W82" i="75"/>
  <c r="W86" i="75" s="1"/>
  <c r="Z82" i="75"/>
  <c r="Z86" i="75" s="1"/>
  <c r="AD82" i="75"/>
  <c r="AL82" i="75"/>
  <c r="AR82" i="75"/>
  <c r="AR86" i="75" s="1"/>
  <c r="AW82" i="75"/>
  <c r="AW86" i="75" s="1"/>
  <c r="L86" i="75"/>
  <c r="R86" i="75"/>
  <c r="V86" i="75"/>
  <c r="AC86" i="75"/>
  <c r="AI86" i="75"/>
  <c r="AQ86" i="75"/>
  <c r="AV86" i="75"/>
  <c r="F82" i="75"/>
  <c r="F86" i="75" s="1"/>
  <c r="P82" i="75"/>
  <c r="X82" i="75"/>
  <c r="X86" i="75" s="1"/>
  <c r="AJ82" i="75"/>
  <c r="AJ86" i="75" s="1"/>
  <c r="AG82" i="75"/>
  <c r="AG86" i="75" s="1"/>
  <c r="AM82" i="75"/>
  <c r="AS82" i="75"/>
  <c r="AS86" i="75" s="1"/>
  <c r="I86" i="75"/>
  <c r="Q86" i="75"/>
  <c r="Y86" i="75"/>
  <c r="AO86" i="75"/>
  <c r="AH86" i="75"/>
  <c r="AN86" i="75"/>
  <c r="AU8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21840EBB-C744-4620-8521-84CB7BEAD8ED}">
      <text>
        <r>
          <rPr>
            <sz val="10"/>
            <color indexed="81"/>
            <rFont val="Arial"/>
            <family val="2"/>
          </rPr>
          <t>1 - 156,074_x000D_
2 - 156,074_x000D_
3 - 105,202_x000D_
4 - 105,202_x000D_
5 - 105,202_x000D_
6 - 105,202</t>
        </r>
      </text>
    </comment>
    <comment ref="M9" authorId="0" shapeId="0" xr:uid="{A58B5A38-1027-4A18-8511-43D43309BAE4}">
      <text>
        <r>
          <rPr>
            <sz val="10"/>
            <color indexed="81"/>
            <rFont val="Arial"/>
            <family val="2"/>
          </rPr>
          <t>1 - 155,074_x000D_
2 - 155,074_x000D_
3 - 115,202_x000D_
4 - 115,202_x000D_
5 - 115,202_x000D_
6 - 115,202</t>
        </r>
      </text>
    </comment>
    <comment ref="E10" authorId="0" shapeId="0" xr:uid="{424E860C-F770-4960-AD41-A9BA164B1AF8}">
      <text>
        <r>
          <rPr>
            <sz val="10"/>
            <color indexed="81"/>
            <rFont val="Arial"/>
            <family val="2"/>
          </rPr>
          <t>Original - _x000D_
5,800,581_x000D_
Change Order - _x000D_
4,526,746</t>
        </r>
      </text>
    </comment>
    <comment ref="I10" authorId="0" shapeId="0" xr:uid="{5235FA93-CB05-4676-AF0F-244289AF4CE5}">
      <text>
        <r>
          <rPr>
            <sz val="10"/>
            <color indexed="81"/>
            <rFont val="Arial"/>
            <family val="2"/>
          </rPr>
          <t>1 - 10,996,976_x000D_
2 - 10,530,003_x000D_
3 - 10,530,003_x000D_
4 - 10,530,003_x000D_
5 - 10,454,058_x000D_
6 - 10,454,058</t>
        </r>
      </text>
    </comment>
    <comment ref="M10" authorId="0" shapeId="0" xr:uid="{EA09B316-1952-4940-8840-FCD4EA5FF136}">
      <text>
        <r>
          <rPr>
            <sz val="10"/>
            <color indexed="81"/>
            <rFont val="Arial"/>
            <family val="2"/>
          </rPr>
          <t>1 - 9,996,976_x000D_
2 - 9,550,003_x000D_
3 - 9,550,003_x000D_
4 - 9,540,003_x000D_
5 - 9,464,058_x000D_
6 - 9,479,058</t>
        </r>
      </text>
    </comment>
    <comment ref="E11" authorId="0" shapeId="0" xr:uid="{B7D4431E-A735-4F03-847B-0C1AA9AF2241}">
      <text>
        <r>
          <rPr>
            <sz val="10"/>
            <color indexed="81"/>
            <rFont val="Arial"/>
            <family val="2"/>
          </rPr>
          <t>Original - _x000D_
2,536,720_x000D_
Change Order - _x000D_
986,722</t>
        </r>
      </text>
    </comment>
    <comment ref="I11" authorId="0" shapeId="0" xr:uid="{E8DB05C6-4071-4501-88F3-7B6246BC7B34}">
      <text>
        <r>
          <rPr>
            <sz val="10"/>
            <color indexed="81"/>
            <rFont val="Arial"/>
            <family val="2"/>
          </rPr>
          <t>1 - 3,543,296_x000D_
2 - 3,543,296_x000D_
3 - 3,497,075_x000D_
4 - 3,480,894_x000D_
5 - 3,384,842_x000D_
6 - 3,296,397</t>
        </r>
      </text>
    </comment>
    <comment ref="M11" authorId="0" shapeId="0" xr:uid="{EB859D5E-B3E1-499B-9D2C-068E165E62F1}">
      <text>
        <r>
          <rPr>
            <sz val="10"/>
            <color indexed="81"/>
            <rFont val="Arial"/>
            <family val="2"/>
          </rPr>
          <t>1 - 3,193,296_x000D_
2 - 3,203,296_x000D_
3 - 3,097,075_x000D_
4 - 3,075,894_x000D_
5 - 2,984,842_x000D_
6 - 2,956,397</t>
        </r>
      </text>
    </comment>
    <comment ref="E12" authorId="0" shapeId="0" xr:uid="{2E57061C-7578-41C7-8B13-52E55C0819D5}">
      <text>
        <r>
          <rPr>
            <sz val="10"/>
            <color indexed="81"/>
            <rFont val="Arial"/>
            <family val="2"/>
          </rPr>
          <t>Original - _x000D_
2,691,094_x000D_
Change Order - _x000D_
141,636</t>
        </r>
      </text>
    </comment>
    <comment ref="I12" authorId="0" shapeId="0" xr:uid="{A26AF544-66C1-4DDD-BE17-F8D45554BB70}">
      <text>
        <r>
          <rPr>
            <sz val="10"/>
            <color indexed="81"/>
            <rFont val="Arial"/>
            <family val="2"/>
          </rPr>
          <t>1 - 2,872,106_x000D_
2 - 2,872,106_x000D_
3 - 2,794,794_x000D_
4 - 2,794,794_x000D_
5 - 2,794,794_x000D_
6 - 2,794,794</t>
        </r>
      </text>
    </comment>
    <comment ref="M12" authorId="0" shapeId="0" xr:uid="{D8810A66-5070-4EB1-B706-941E336D113A}">
      <text>
        <r>
          <rPr>
            <sz val="10"/>
            <color indexed="81"/>
            <rFont val="Arial"/>
            <family val="2"/>
          </rPr>
          <t>1 - 2,712,106_x000D_
2 - 2,732,106_x000D_
3 - 2,654,794_x000D_
4 - 2,654,794_x000D_
5 - 2,651,794_x000D_
6 - 2,639,794</t>
        </r>
      </text>
    </comment>
    <comment ref="I13" authorId="0" shapeId="0" xr:uid="{C5784E2F-9A12-44CA-9362-5DE2160858E7}">
      <text>
        <r>
          <rPr>
            <sz val="10"/>
            <color indexed="81"/>
            <rFont val="Arial"/>
            <family val="2"/>
          </rPr>
          <t>1 - 1,294,297_x000D_
2 - 1,294,297_x000D_
3 - 1,294,297_x000D_
4 - 1,294,297_x000D_
5 - 1,294,297_x000D_
6 - 1,294,297</t>
        </r>
      </text>
    </comment>
    <comment ref="M13" authorId="0" shapeId="0" xr:uid="{C6C67D09-14FB-49DA-AC11-63F91C63FA9C}">
      <text>
        <r>
          <rPr>
            <sz val="10"/>
            <color indexed="81"/>
            <rFont val="Arial"/>
            <family val="2"/>
          </rPr>
          <t>1 - 1,184,297_x000D_
2 - 1,184,297_x000D_
3 - 1,184,297_x000D_
4 - 1,184,297_x000D_
5 - 1,184,297_x000D_
6 - 1,184,297</t>
        </r>
      </text>
    </comment>
    <comment ref="E14" authorId="0" shapeId="0" xr:uid="{D831EC39-1496-49DD-8415-CEF0B2AC94B2}">
      <text>
        <r>
          <rPr>
            <sz val="10"/>
            <color indexed="81"/>
            <rFont val="Arial"/>
            <family val="2"/>
          </rPr>
          <t>Original - _x000D_
1,218,717_x000D_
Change Order - _x000D_
459,377</t>
        </r>
      </text>
    </comment>
    <comment ref="I14" authorId="0" shapeId="0" xr:uid="{096510FC-4AC4-4CE8-A6F4-8884446FC4BA}">
      <text>
        <r>
          <rPr>
            <sz val="10"/>
            <color indexed="81"/>
            <rFont val="Arial"/>
            <family val="2"/>
          </rPr>
          <t>1 - 1,903,467_x000D_
2 - 1,678,093_x000D_
3 - 1,678,093_x000D_
4 - 1,257,787_x000D_
5 - 1,257,787_x000D_
6 - 1,257,787</t>
        </r>
      </text>
    </comment>
    <comment ref="M14" authorId="0" shapeId="0" xr:uid="{84DB9089-A2F5-40A4-8F9C-1092583DFCF3}">
      <text>
        <r>
          <rPr>
            <sz val="10"/>
            <color indexed="81"/>
            <rFont val="Arial"/>
            <family val="2"/>
          </rPr>
          <t>1 - 1,478,467_x000D_
2 - 1,328,093_x000D_
3 - 1,378,093_x000D_
4 - 1,027,787_x000D_
5 - 977,787_x000D_
6 - 977,787</t>
        </r>
      </text>
    </comment>
    <comment ref="E15" authorId="0" shapeId="0" xr:uid="{D68A7F87-CFE6-4EB0-A3B8-3C1C34B55D95}">
      <text>
        <r>
          <rPr>
            <sz val="10"/>
            <color indexed="81"/>
            <rFont val="Arial"/>
            <family val="2"/>
          </rPr>
          <t>Original - _x000D_
9,653,846_x000D_
Change Order - _x000D_
46,599</t>
        </r>
      </text>
    </comment>
    <comment ref="I15" authorId="0" shapeId="0" xr:uid="{D05E58C7-C0BB-41E3-AC8E-F276398B2ACB}">
      <text>
        <r>
          <rPr>
            <sz val="10"/>
            <color indexed="81"/>
            <rFont val="Arial"/>
            <family val="2"/>
          </rPr>
          <t>1 - 9,668,743_x000D_
2 - 9,668,743_x000D_
3 - 9,668,743_x000D_
4 - 9,668,743_x000D_
5 - 9,668,743_x000D_
6 - 9,668,743</t>
        </r>
      </text>
    </comment>
    <comment ref="M15" authorId="0" shapeId="0" xr:uid="{2F6A93C9-E20C-486E-A77B-6022C5ED8AEE}">
      <text>
        <r>
          <rPr>
            <sz val="10"/>
            <color indexed="81"/>
            <rFont val="Arial"/>
            <family val="2"/>
          </rPr>
          <t>1 - 9,313,743_x000D_
2 - 9,313,743_x000D_
3 - 9,323,743_x000D_
4 - 9,338,743_x000D_
5 - 9,243,743_x000D_
6 - 9,193,743</t>
        </r>
      </text>
    </comment>
    <comment ref="E16" authorId="0" shapeId="0" xr:uid="{D89FBAE1-DDB3-49BE-BD03-788F4956C965}">
      <text>
        <r>
          <rPr>
            <sz val="10"/>
            <color indexed="81"/>
            <rFont val="Arial"/>
            <family val="2"/>
          </rPr>
          <t>Original - _x000D_
84,275_x000D_
Change Order - _x000D_
11,073</t>
        </r>
      </text>
    </comment>
    <comment ref="I16" authorId="0" shapeId="0" xr:uid="{73FBBDAA-0CDE-40CA-A27A-49E067284691}">
      <text>
        <r>
          <rPr>
            <sz val="10"/>
            <color indexed="81"/>
            <rFont val="Arial"/>
            <family val="2"/>
          </rPr>
          <t>1 - 127,178_x000D_
2 - 127,178_x000D_
3 - 95,348_x000D_
4 - 84,275_x000D_
5 - 84,275_x000D_
6 - 84,275</t>
        </r>
      </text>
    </comment>
    <comment ref="M16" authorId="0" shapeId="0" xr:uid="{61E83E6A-E81D-4356-9B18-785DB63191CE}">
      <text>
        <r>
          <rPr>
            <sz val="10"/>
            <color indexed="81"/>
            <rFont val="Arial"/>
            <family val="2"/>
          </rPr>
          <t>1 - 87,178_x000D_
2 - 97,178_x000D_
3 - 80,848_x000D_
4 - 69,775_x000D_
5 - 69,775_x000D_
6 - 69,775</t>
        </r>
      </text>
    </comment>
    <comment ref="E17" authorId="0" shapeId="0" xr:uid="{52F39552-1308-4618-969A-300BB3D0D5E3}">
      <text>
        <r>
          <rPr>
            <sz val="10"/>
            <color indexed="81"/>
            <rFont val="Arial"/>
            <family val="2"/>
          </rPr>
          <t>Original - _x000D_
1,260,917_x000D_
Change Order - _x000D_
59,590</t>
        </r>
      </text>
    </comment>
    <comment ref="I17" authorId="0" shapeId="0" xr:uid="{2CB99319-BB7C-4FF0-B09B-F8AC4876129A}">
      <text>
        <r>
          <rPr>
            <sz val="10"/>
            <color indexed="81"/>
            <rFont val="Arial"/>
            <family val="2"/>
          </rPr>
          <t>1 - 1,320,507_x000D_
2 - 1,320,507_x000D_
3 - 1,291,858_x000D_
4 - 1,291,858_x000D_
5 - 1,260,917_x000D_
6 - 1,260,917</t>
        </r>
      </text>
    </comment>
    <comment ref="M17" authorId="0" shapeId="0" xr:uid="{A02A8130-3E72-4B63-A62F-9774F486157F}">
      <text>
        <r>
          <rPr>
            <sz val="10"/>
            <color indexed="81"/>
            <rFont val="Arial"/>
            <family val="2"/>
          </rPr>
          <t>1 - 1,080,507_x000D_
2 - 1,080,507_x000D_
3 - 1,071,858_x000D_
4 - 1,071,858_x000D_
5 - 1,135,917_x000D_
6 - 1,175,917</t>
        </r>
      </text>
    </comment>
    <comment ref="E18" authorId="0" shapeId="0" xr:uid="{3BF7241B-2224-4531-A887-9806C6F1CA5C}">
      <text>
        <r>
          <rPr>
            <sz val="10"/>
            <color indexed="81"/>
            <rFont val="Arial"/>
            <family val="2"/>
          </rPr>
          <t>Original - _x000D_
3,418,503_x000D_
Change Order - _x000D_
-132,682</t>
        </r>
      </text>
    </comment>
    <comment ref="I18" authorId="0" shapeId="0" xr:uid="{D65A79CD-7773-4003-AD23-14ED4B4E8C80}">
      <text>
        <r>
          <rPr>
            <sz val="10"/>
            <color indexed="81"/>
            <rFont val="Arial"/>
            <family val="2"/>
          </rPr>
          <t>1 - 3,335,865_x000D_
2 - 3,439,506_x000D_
3 - 3,374,782_x000D_
4 - 3,300,638_x000D_
5 - 3,300,638_x000D_
6 - 3,300,638</t>
        </r>
      </text>
    </comment>
    <comment ref="M18" authorId="0" shapeId="0" xr:uid="{556F094A-7C15-4824-8BDE-E30289C9B591}">
      <text>
        <r>
          <rPr>
            <sz val="10"/>
            <color indexed="81"/>
            <rFont val="Arial"/>
            <family val="2"/>
          </rPr>
          <t>1 - 3,127,865_x000D_
2 - 3,199,506_x000D_
3 - 3,119,782_x000D_
4 - 3,070,638_x000D_
5 - 3,065,638_x000D_
6 - 3,075,638</t>
        </r>
      </text>
    </comment>
    <comment ref="E19" authorId="0" shapeId="0" xr:uid="{F48287F1-38C9-4D33-AB4F-7109339DCF36}">
      <text>
        <r>
          <rPr>
            <sz val="10"/>
            <color indexed="81"/>
            <rFont val="Arial"/>
            <family val="2"/>
          </rPr>
          <t>Original - _x000D_
965,805_x000D_
Change Order - _x000D_
324,068</t>
        </r>
      </text>
    </comment>
    <comment ref="I19" authorId="0" shapeId="0" xr:uid="{BF0B9D73-1F28-4CBD-9EA7-7949BB4C6845}">
      <text>
        <r>
          <rPr>
            <sz val="10"/>
            <color indexed="81"/>
            <rFont val="Arial"/>
            <family val="2"/>
          </rPr>
          <t>1 - 1,289,873_x000D_
2 - 1,289,873_x000D_
3 - 1,294,873_x000D_
4 - 1,246,171_x000D_
5 - 1,263,028_x000D_
6 - 1,263,028</t>
        </r>
      </text>
    </comment>
    <comment ref="M19" authorId="0" shapeId="0" xr:uid="{2E152448-1D25-45B7-A5D6-1900A9583A16}">
      <text>
        <r>
          <rPr>
            <sz val="10"/>
            <color indexed="81"/>
            <rFont val="Arial"/>
            <family val="2"/>
          </rPr>
          <t>1 - 1,036,873_x000D_
2 - 1,029,873_x000D_
3 - 1,034,873_x000D_
4 - 986,171_x000D_
5 - 988,028_x000D_
6 - 993,028</t>
        </r>
      </text>
    </comment>
    <comment ref="E20" authorId="0" shapeId="0" xr:uid="{7E34A97B-1898-4F9A-BD1F-36B2626C1E12}">
      <text>
        <r>
          <rPr>
            <sz val="10"/>
            <color indexed="81"/>
            <rFont val="Arial"/>
            <family val="2"/>
          </rPr>
          <t>Original - _x000D_
9,950,023_x000D_
Change Order - _x000D_
36,983</t>
        </r>
      </text>
    </comment>
    <comment ref="I20" authorId="0" shapeId="0" xr:uid="{D9ED3BDD-69BA-4534-8A5F-C2FB05C950AE}">
      <text>
        <r>
          <rPr>
            <sz val="10"/>
            <color indexed="81"/>
            <rFont val="Arial"/>
            <family val="2"/>
          </rPr>
          <t>1 - 9,967,206_x000D_
2 - 9,967,206_x000D_
3 - 9,967,206_x000D_
4 - 9,967,206_x000D_
5 - 9,950,023_x000D_
6 - 9,950,023</t>
        </r>
      </text>
    </comment>
    <comment ref="M20" authorId="0" shapeId="0" xr:uid="{174C4F6F-2D9A-4B8D-BD33-20071DEE9BC7}">
      <text>
        <r>
          <rPr>
            <sz val="10"/>
            <color indexed="81"/>
            <rFont val="Arial"/>
            <family val="2"/>
          </rPr>
          <t>1 - 9,507,206_x000D_
2 - 9,507,206_x000D_
3 - 9,507,206_x000D_
4 - 9,527,206_x000D_
5 - 9,500,023_x000D_
6 - 9,500,023</t>
        </r>
      </text>
    </comment>
    <comment ref="I21" authorId="0" shapeId="0" xr:uid="{8C2A2172-7C51-4BE3-8F98-8E63C6506812}">
      <text>
        <r>
          <rPr>
            <sz val="10"/>
            <color indexed="81"/>
            <rFont val="Arial"/>
            <family val="2"/>
          </rPr>
          <t>1 - 168,405_x000D_
2 - 168,405_x000D_
3 - 168,405_x000D_
4 - 168,405_x000D_
5 - 168,405_x000D_
6 - 168,405</t>
        </r>
      </text>
    </comment>
    <comment ref="M21" authorId="0" shapeId="0" xr:uid="{42B28041-869D-4764-A319-A61F7BC8E13F}">
      <text>
        <r>
          <rPr>
            <sz val="10"/>
            <color indexed="81"/>
            <rFont val="Arial"/>
            <family val="2"/>
          </rPr>
          <t>1 - 145,405_x000D_
2 - 145,405_x000D_
3 - 145,405_x000D_
4 - 145,405_x000D_
5 - 145,405_x000D_
6 - 145,405</t>
        </r>
      </text>
    </comment>
    <comment ref="I22" authorId="0" shapeId="0" xr:uid="{F27722F1-A744-4382-BD81-E96658CD0197}">
      <text>
        <r>
          <rPr>
            <sz val="10"/>
            <color indexed="81"/>
            <rFont val="Arial"/>
            <family val="2"/>
          </rPr>
          <t>1 - 218,115_x000D_
2 - 218,115_x000D_
3 - 218,115_x000D_
4 - 218,115_x000D_
5 - 218,115_x000D_
6 - 218,115</t>
        </r>
      </text>
    </comment>
    <comment ref="M22" authorId="0" shapeId="0" xr:uid="{D96FE996-7000-47C5-BC07-1074106E9067}">
      <text>
        <r>
          <rPr>
            <sz val="10"/>
            <color indexed="81"/>
            <rFont val="Arial"/>
            <family val="2"/>
          </rPr>
          <t>1 - 189,115_x000D_
2 - 189,115_x000D_
3 - 189,115_x000D_
4 - 189,115_x000D_
5 - 189,115_x000D_
6 - 189,115</t>
        </r>
      </text>
    </comment>
    <comment ref="I23" authorId="0" shapeId="0" xr:uid="{2F149AA4-9746-45C0-837F-35678F70BB2C}">
      <text>
        <r>
          <rPr>
            <sz val="10"/>
            <color indexed="81"/>
            <rFont val="Arial"/>
            <family val="2"/>
          </rPr>
          <t>1 - 9,950,023_x000D_
2 - 9,950,023_x000D_
3 - 9,950,023_x000D_
4 - 9,699,827_x000D_
5 - 0_x000D_
6 - 0</t>
        </r>
      </text>
    </comment>
    <comment ref="M23" authorId="0" shapeId="0" xr:uid="{6BF1CE64-4A1A-482A-AB09-A7178BDEB036}">
      <text>
        <r>
          <rPr>
            <sz val="10"/>
            <color indexed="81"/>
            <rFont val="Arial"/>
            <family val="2"/>
          </rPr>
          <t>1 - 9,475,023_x000D_
2 - 9,475,023_x000D_
3 - 9,475,023_x000D_
4 - 9,224,827_x000D_
5 - 0_x000D_
6 - 0</t>
        </r>
      </text>
    </comment>
    <comment ref="I24" authorId="0" shapeId="0" xr:uid="{53B63DA9-7798-4B4D-B1EB-2B213B115B2F}">
      <text>
        <r>
          <rPr>
            <sz val="10"/>
            <color indexed="81"/>
            <rFont val="Arial"/>
            <family val="2"/>
          </rPr>
          <t>1 - 699,952_x000D_
2 - 699,952_x000D_
3 - 0_x000D_
4 - 0_x000D_
5 - 0_x000D_
6 - 0</t>
        </r>
      </text>
    </comment>
    <comment ref="M24" authorId="0" shapeId="0" xr:uid="{0AEB5255-06C1-4A2C-AD0F-A153FDE72EC6}">
      <text>
        <r>
          <rPr>
            <sz val="10"/>
            <color indexed="81"/>
            <rFont val="Arial"/>
            <family val="2"/>
          </rPr>
          <t>1 - 654,952_x000D_
2 - 654,952_x000D_
3 - 0_x000D_
4 - 0_x000D_
5 - 0_x000D_
6 - 0</t>
        </r>
      </text>
    </comment>
    <comment ref="I36" authorId="0" shapeId="0" xr:uid="{1E01D36E-5207-4026-ABAB-8E38772B6A07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36" authorId="0" shapeId="0" xr:uid="{0492CD15-987F-4210-8EB2-3814629CE1F2}">
      <text>
        <r>
          <rPr>
            <sz val="10"/>
            <color indexed="81"/>
            <rFont val="Arial"/>
            <family val="2"/>
          </rPr>
          <t>1 - 358,368_x000D_
2 - 324,744_x000D_
3 - 288,325_x000D_
4 - 257,599_x000D_
5 - 230,529_x000D_
6 - 201,962</t>
        </r>
      </text>
    </comment>
    <comment ref="I37" authorId="0" shapeId="0" xr:uid="{AA09CA57-7B5A-4667-8042-B30B40163F74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37" authorId="0" shapeId="0" xr:uid="{326708C7-27F2-4BBF-BC0A-B993E6CDDF42}">
      <text>
        <r>
          <rPr>
            <sz val="10"/>
            <color indexed="81"/>
            <rFont val="Arial"/>
            <family val="2"/>
          </rPr>
          <t>1 - 117,567_x000D_
2 - 108,804_x000D_
3 - 98,464_x000D_
4 - 93,224_x000D_
5 - 78,723_x000D_
6 - 65,336</t>
        </r>
      </text>
    </comment>
    <comment ref="I38" authorId="0" shapeId="0" xr:uid="{F308527A-52DE-4EF0-8A22-ED85476A5E03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38" authorId="0" shapeId="0" xr:uid="{D60A583D-0B8F-4340-BC24-75170BBBB31C}">
      <text>
        <r>
          <rPr>
            <sz val="10"/>
            <color indexed="81"/>
            <rFont val="Arial"/>
            <family val="2"/>
          </rPr>
          <t>1 - 4,786_x000D_
2 - 4,976_x000D_
3 - 4,976_x000D_
4 - 4,976_x000D_
5 - 8,572_x000D_
6 - 8,461</t>
        </r>
      </text>
    </comment>
    <comment ref="I39" authorId="0" shapeId="0" xr:uid="{3DDD4174-1C60-4D84-B590-0526BBB46D75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39" authorId="0" shapeId="0" xr:uid="{25B14861-9E38-4B30-83C9-033A9F6A8183}">
      <text>
        <r>
          <rPr>
            <sz val="10"/>
            <color indexed="81"/>
            <rFont val="Arial"/>
            <family val="2"/>
          </rPr>
          <t>1 - 7,604_x000D_
2 - 7,604_x000D_
3 - 7,604_x000D_
4 - 7,604_x000D_
5 - 7,604_x000D_
6 - 7,604</t>
        </r>
      </text>
    </comment>
    <comment ref="I40" authorId="0" shapeId="0" xr:uid="{88B6E193-8028-41D3-921F-74F23573C053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40" authorId="0" shapeId="0" xr:uid="{EDC94002-6D19-4BA9-A42A-BC0A40E71B54}">
      <text>
        <r>
          <rPr>
            <sz val="10"/>
            <color indexed="81"/>
            <rFont val="Arial"/>
            <family val="2"/>
          </rPr>
          <t>1 - 304,723_x000D_
2 - 279,206_x000D_
3 - 248,481_x000D_
4 - 214,339_x000D_
5 - 177,756_x000D_
6 - 138,912</t>
        </r>
      </text>
    </comment>
    <comment ref="I41" authorId="0" shapeId="0" xr:uid="{AC064C8D-A482-40DC-A0CC-6F007E5F1FE1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41" authorId="0" shapeId="0" xr:uid="{6180ADEA-D5D4-4312-96D1-C6ECDDC6B151}">
      <text>
        <r>
          <rPr>
            <sz val="10"/>
            <color indexed="81"/>
            <rFont val="Arial"/>
            <family val="2"/>
          </rPr>
          <t>1 - 26,579_x000D_
2 - 24,901_x000D_
3 - 22,435_x000D_
4 - 20,363_x000D_
5 - 17,688_x000D_
6 - 16,586</t>
        </r>
      </text>
    </comment>
    <comment ref="E42" authorId="0" shapeId="0" xr:uid="{5586CCF3-94C6-41E1-81E3-84C0CB0566E8}">
      <text>
        <r>
          <rPr>
            <sz val="10"/>
            <color indexed="81"/>
            <rFont val="Arial"/>
            <family val="2"/>
          </rPr>
          <t>Original - _x000D_
5,162,388_x000D_
Change Order - _x000D_
200,253</t>
        </r>
      </text>
    </comment>
    <comment ref="E43" authorId="0" shapeId="0" xr:uid="{70ABA0BE-A62A-456F-874E-5156D94BD45D}">
      <text>
        <r>
          <rPr>
            <sz val="10"/>
            <color indexed="81"/>
            <rFont val="Arial"/>
            <family val="2"/>
          </rPr>
          <t>Original - _x000D_
652,153_x000D_
Change Order - _x000D_
48,195</t>
        </r>
      </text>
    </comment>
    <comment ref="E44" authorId="0" shapeId="0" xr:uid="{02FBC225-1FCC-48E2-878D-C555A49DC839}">
      <text>
        <r>
          <rPr>
            <sz val="10"/>
            <color indexed="81"/>
            <rFont val="Arial"/>
            <family val="2"/>
          </rPr>
          <t>Original - _x000D_
799,732_x000D_
Change Order - _x000D_
25,075</t>
        </r>
      </text>
    </comment>
    <comment ref="E45" authorId="0" shapeId="0" xr:uid="{3B3457C2-7FE2-4F21-96DD-8DAB219F6DAF}">
      <text>
        <r>
          <rPr>
            <sz val="10"/>
            <color indexed="81"/>
            <rFont val="Arial"/>
            <family val="2"/>
          </rPr>
          <t>Original - _x000D_
598,237_x000D_
Change Order - _x000D_
123,132</t>
        </r>
      </text>
    </comment>
    <comment ref="E46" authorId="0" shapeId="0" xr:uid="{4C673BF5-3185-48CA-AF11-D825EE707AB4}">
      <text>
        <r>
          <rPr>
            <sz val="10"/>
            <color indexed="81"/>
            <rFont val="Arial"/>
            <family val="2"/>
          </rPr>
          <t>Original - _x000D_
3,174,700_x000D_
Change Order - _x000D_
88,861</t>
        </r>
      </text>
    </comment>
    <comment ref="E47" authorId="0" shapeId="0" xr:uid="{EAFFE9B7-F112-48EC-8FEB-24B5BC191D28}">
      <text>
        <r>
          <rPr>
            <sz val="10"/>
            <color indexed="81"/>
            <rFont val="Arial"/>
            <family val="2"/>
          </rPr>
          <t>Original - _x000D_
556,000_x000D_
Change Order - _x000D_
91,803</t>
        </r>
      </text>
    </comment>
    <comment ref="E48" authorId="0" shapeId="0" xr:uid="{2B3E204B-7160-4674-B7A5-552334C6B948}">
      <text>
        <r>
          <rPr>
            <sz val="10"/>
            <color indexed="81"/>
            <rFont val="Arial"/>
            <family val="2"/>
          </rPr>
          <t>Original - _x000D_
24,000_x000D_
Change Order - _x000D_
18,603</t>
        </r>
      </text>
    </comment>
    <comment ref="E49" authorId="0" shapeId="0" xr:uid="{39FE5C41-28F7-41F2-8DE9-199AE19155A2}">
      <text>
        <r>
          <rPr>
            <sz val="10"/>
            <color indexed="81"/>
            <rFont val="Arial"/>
            <family val="2"/>
          </rPr>
          <t>Original - _x000D_
2,214,587_x000D_
Change Order - _x000D_
140,830</t>
        </r>
      </text>
    </comment>
    <comment ref="E51" authorId="0" shapeId="0" xr:uid="{5F2F6FCF-062A-4E52-A268-211F65EC2DC3}">
      <text>
        <r>
          <rPr>
            <sz val="10"/>
            <color indexed="81"/>
            <rFont val="Arial"/>
            <family val="2"/>
          </rPr>
          <t>Original - _x000D_
1,271,280_x000D_
Change Order - _x000D_
90,049</t>
        </r>
      </text>
    </comment>
    <comment ref="E52" authorId="0" shapeId="0" xr:uid="{58CD2B9A-0ABB-40F7-9182-B33C9F38D6B5}">
      <text>
        <r>
          <rPr>
            <sz val="10"/>
            <color indexed="81"/>
            <rFont val="Arial"/>
            <family val="2"/>
          </rPr>
          <t>Original - _x000D_
2,234,648_x000D_
Change Order - _x000D_
82,580</t>
        </r>
      </text>
    </comment>
    <comment ref="E53" authorId="0" shapeId="0" xr:uid="{032591DC-F2A6-458C-BEB4-AF204FD7446F}">
      <text>
        <r>
          <rPr>
            <sz val="10"/>
            <color indexed="81"/>
            <rFont val="Arial"/>
            <family val="2"/>
          </rPr>
          <t>Original - _x000D_
4,507,013_x000D_
Change Order - _x000D_
660,908</t>
        </r>
      </text>
    </comment>
    <comment ref="I53" authorId="0" shapeId="0" xr:uid="{CB1C1905-6CDF-4ABA-9DC1-BCF43B7C3F80}">
      <text>
        <r>
          <rPr>
            <sz val="10"/>
            <color indexed="81"/>
            <rFont val="Arial"/>
            <family val="2"/>
          </rPr>
          <t>1 - 5,192,802_x000D_
2 - 5,192,802_x000D_
3 - 5,192,802_x000D_
4 - 5,192,802_x000D_
5 - 5,192,802_x000D_
6 - 5,192,802</t>
        </r>
      </text>
    </comment>
    <comment ref="M53" authorId="0" shapeId="0" xr:uid="{44D48DA5-61AF-407A-89C5-1F905A7241B6}">
      <text>
        <r>
          <rPr>
            <sz val="10"/>
            <color indexed="81"/>
            <rFont val="Arial"/>
            <family val="2"/>
          </rPr>
          <t>1 - 4,329,533_x000D_
2 - 4,329,533_x000D_
3 - 4,329,533_x000D_
4 - 4,330,666_x000D_
5 - 4,345,548_x000D_
6 - 4,345,548</t>
        </r>
      </text>
    </comment>
    <comment ref="E54" authorId="0" shapeId="0" xr:uid="{9AB9FF61-6DAB-4860-9AD7-71A4C9ED1DB5}">
      <text>
        <r>
          <rPr>
            <sz val="10"/>
            <color indexed="81"/>
            <rFont val="Arial"/>
            <family val="2"/>
          </rPr>
          <t>Original - _x000D_
694,477_x000D_
Change Order - _x000D_
5,537</t>
        </r>
      </text>
    </comment>
    <comment ref="I54" authorId="0" shapeId="0" xr:uid="{7EA8AAD9-B671-423A-9A1E-014E5161C7B9}">
      <text>
        <r>
          <rPr>
            <sz val="10"/>
            <color indexed="81"/>
            <rFont val="Arial"/>
            <family val="2"/>
          </rPr>
          <t>1 - 700,014_x000D_
2 - 700,014_x000D_
3 - 700,014_x000D_
4 - 694,995_x000D_
5 - 694,995_x000D_
6 - 694,995</t>
        </r>
      </text>
    </comment>
    <comment ref="M54" authorId="0" shapeId="0" xr:uid="{E915E435-2DA2-4AAA-A99A-EE7748861B75}">
      <text>
        <r>
          <rPr>
            <sz val="10"/>
            <color indexed="81"/>
            <rFont val="Arial"/>
            <family val="2"/>
          </rPr>
          <t>1 - 542,146_x000D_
2 - 542,514_x000D_
3 - 550,014_x000D_
4 - 559,995_x000D_
5 - 559,995_x000D_
6 - 559,995</t>
        </r>
      </text>
    </comment>
    <comment ref="E55" authorId="0" shapeId="0" xr:uid="{8AD5F225-5F55-4647-829F-9702F5A377BB}">
      <text>
        <r>
          <rPr>
            <sz val="10"/>
            <color indexed="81"/>
            <rFont val="Arial"/>
            <family val="2"/>
          </rPr>
          <t>Original - _x000D_
3,131,700_x000D_
Change Order - _x000D_
-684,345</t>
        </r>
      </text>
    </comment>
    <comment ref="E56" authorId="0" shapeId="0" xr:uid="{A0CD5128-AA47-4D4C-AEF8-0CA20C69F43C}">
      <text>
        <r>
          <rPr>
            <sz val="10"/>
            <color indexed="81"/>
            <rFont val="Arial"/>
            <family val="2"/>
          </rPr>
          <t>Original - _x000D_
1,592,500_x000D_
Change Order - _x000D_
10,710</t>
        </r>
      </text>
    </comment>
    <comment ref="I56" authorId="0" shapeId="0" xr:uid="{9E0A6C9B-7D0D-4347-8FD8-CC93AAC09DD3}">
      <text>
        <r>
          <rPr>
            <sz val="10"/>
            <color indexed="81"/>
            <rFont val="Arial"/>
            <family val="2"/>
          </rPr>
          <t>1 - 1,603,210_x000D_
2 - 1,603,210_x000D_
3 - 1,603,210_x000D_
4 - 1,603,210_x000D_
5 - 1,603,210_x000D_
6 - 1,603,210</t>
        </r>
      </text>
    </comment>
    <comment ref="M56" authorId="0" shapeId="0" xr:uid="{DDFEF85F-9F2E-4024-93D7-D262DEA20BC5}">
      <text>
        <r>
          <rPr>
            <sz val="10"/>
            <color indexed="81"/>
            <rFont val="Arial"/>
            <family val="2"/>
          </rPr>
          <t>1 - 1,431,097_x000D_
2 - 1,431,097_x000D_
3 - 1,431,097_x000D_
4 - 1,431,097_x000D_
5 - 1,433,210_x000D_
6 - 1,433,210</t>
        </r>
      </text>
    </comment>
    <comment ref="E57" authorId="0" shapeId="0" xr:uid="{EB9173AC-3C29-43C7-98BB-420B08919C16}">
      <text>
        <r>
          <rPr>
            <sz val="10"/>
            <color indexed="81"/>
            <rFont val="Arial"/>
            <family val="2"/>
          </rPr>
          <t>Original - _x000D_
1,774,274_x000D_
Change Order - _x000D_
59,537</t>
        </r>
      </text>
    </comment>
    <comment ref="I57" authorId="0" shapeId="0" xr:uid="{5E648E76-5B57-4FE0-BDCF-31EE8915E562}">
      <text>
        <r>
          <rPr>
            <sz val="10"/>
            <color indexed="81"/>
            <rFont val="Arial"/>
            <family val="2"/>
          </rPr>
          <t>1 - 1,815,311_x000D_
2 - 1,815,311_x000D_
3 - 1,815,311_x000D_
4 - 1,815,311_x000D_
5 - 1,815,311_x000D_
6 - 1,815,311</t>
        </r>
      </text>
    </comment>
    <comment ref="M57" authorId="0" shapeId="0" xr:uid="{07EF7950-5743-49F7-ACC0-8BC3A677855F}">
      <text>
        <r>
          <rPr>
            <sz val="10"/>
            <color indexed="81"/>
            <rFont val="Arial"/>
            <family val="2"/>
          </rPr>
          <t>1 - 1,559,760_x000D_
2 - 1,559,760_x000D_
3 - 1,559,760_x000D_
4 - 1,559,760_x000D_
5 - 1,604,713_x000D_
6 - 1,567,697</t>
        </r>
      </text>
    </comment>
    <comment ref="E58" authorId="0" shapeId="0" xr:uid="{FE1F1D06-AB03-480B-B0DE-07A026BD0628}">
      <text>
        <r>
          <rPr>
            <sz val="10"/>
            <color indexed="81"/>
            <rFont val="Arial"/>
            <family val="2"/>
          </rPr>
          <t>Original - _x000D_
1,016,680_x000D_
Change Order - _x000D_
79,100</t>
        </r>
      </text>
    </comment>
    <comment ref="E59" authorId="0" shapeId="0" xr:uid="{1C26A136-D44C-43AA-81E2-9F28202D146C}">
      <text>
        <r>
          <rPr>
            <sz val="10"/>
            <color indexed="81"/>
            <rFont val="Arial"/>
            <family val="2"/>
          </rPr>
          <t>Original - _x000D_
58,000_x000D_
Change Order - _x000D_
160,864</t>
        </r>
      </text>
    </comment>
    <comment ref="I59" authorId="0" shapeId="0" xr:uid="{DDF45514-2FAE-4EBF-9760-2ED043812B0E}">
      <text>
        <r>
          <rPr>
            <sz val="10"/>
            <color indexed="81"/>
            <rFont val="Arial"/>
            <family val="2"/>
          </rPr>
          <t>1 - 218,864_x000D_
2 - 218,864_x000D_
3 - 218,864_x000D_
4 - 218,864_x000D_
5 - 218,864_x000D_
6 - 218,864</t>
        </r>
      </text>
    </comment>
    <comment ref="M59" authorId="0" shapeId="0" xr:uid="{24C2C946-7913-441F-8CE4-0E1D0318E36E}">
      <text>
        <r>
          <rPr>
            <sz val="10"/>
            <color indexed="81"/>
            <rFont val="Arial"/>
            <family val="2"/>
          </rPr>
          <t>1 - 148,033_x000D_
2 - 148,033_x000D_
3 - 148,033_x000D_
4 - 148,033_x000D_
5 - 148,181_x000D_
6 - 148,181</t>
        </r>
      </text>
    </comment>
    <comment ref="E60" authorId="0" shapeId="0" xr:uid="{5530B5E8-B1E9-4568-A353-711ED8999859}">
      <text>
        <r>
          <rPr>
            <sz val="10"/>
            <color indexed="81"/>
            <rFont val="Arial"/>
            <family val="2"/>
          </rPr>
          <t>Original - _x000D_
5,233,895_x000D_
Change Order - _x000D_
61,652</t>
        </r>
      </text>
    </comment>
    <comment ref="I60" authorId="0" shapeId="0" xr:uid="{62E4D94A-2DAC-4986-8574-B3468D5F23A8}">
      <text>
        <r>
          <rPr>
            <sz val="10"/>
            <color indexed="81"/>
            <rFont val="Arial"/>
            <family val="2"/>
          </rPr>
          <t>1 - 5,256,237_x000D_
2 - 5,256,237_x000D_
3 - 5,256,237_x000D_
4 - 5,249,337_x000D_
5 - 5,249,338_x000D_
6 - 5,249,337</t>
        </r>
      </text>
    </comment>
    <comment ref="M60" authorId="0" shapeId="0" xr:uid="{82378C9F-67DC-4C91-AF08-6BFD4910C8AC}">
      <text>
        <r>
          <rPr>
            <sz val="10"/>
            <color indexed="81"/>
            <rFont val="Arial"/>
            <family val="2"/>
          </rPr>
          <t>1 - 3,710,503_x000D_
2 - 3,701,518_x000D_
3 - 3,703,731_x000D_
4 - 3,701,058_x000D_
5 - 3,700,691_x000D_
6 - 3,699,337</t>
        </r>
      </text>
    </comment>
    <comment ref="E61" authorId="0" shapeId="0" xr:uid="{FF6F1DDD-0460-4950-89EF-6626D1535485}">
      <text>
        <r>
          <rPr>
            <sz val="10"/>
            <color indexed="81"/>
            <rFont val="Arial"/>
            <family val="2"/>
          </rPr>
          <t>Original - _x000D_
205,900_x000D_
Change Order - _x000D_
107,432</t>
        </r>
      </text>
    </comment>
    <comment ref="E62" authorId="0" shapeId="0" xr:uid="{35F71A60-E7BC-468B-B7A3-12A4CE48CCAC}">
      <text>
        <r>
          <rPr>
            <sz val="10"/>
            <color indexed="81"/>
            <rFont val="Arial"/>
            <family val="2"/>
          </rPr>
          <t>Original - _x000D_
1,962,257_x000D_
Change Order - _x000D_
49,609</t>
        </r>
      </text>
    </comment>
    <comment ref="I62" authorId="0" shapeId="0" xr:uid="{434112CD-639E-4B9F-BBC2-67D8B7A932BC}">
      <text>
        <r>
          <rPr>
            <sz val="10"/>
            <color indexed="81"/>
            <rFont val="Arial"/>
            <family val="2"/>
          </rPr>
          <t>1 - 2,001,595_x000D_
2 - 2,001,595_x000D_
3 - 2,001,595_x000D_
4 - 2,009,535_x000D_
5 - 2,009,535_x000D_
6 - 2,009,535</t>
        </r>
      </text>
    </comment>
    <comment ref="M62" authorId="0" shapeId="0" xr:uid="{6A4212FD-484C-4BAD-B700-733B4FFD5FA3}">
      <text>
        <r>
          <rPr>
            <sz val="10"/>
            <color indexed="81"/>
            <rFont val="Arial"/>
            <family val="2"/>
          </rPr>
          <t>1 - 1,662,800_x000D_
2 - 1,662,800_x000D_
3 - 1,658,190_x000D_
4 - 1,680,535_x000D_
5 - 1,680,838_x000D_
6 - 1,685,535</t>
        </r>
      </text>
    </comment>
    <comment ref="E65" authorId="0" shapeId="0" xr:uid="{AC648EE7-0E85-4B93-B3D3-812B108A9245}">
      <text>
        <r>
          <rPr>
            <sz val="10"/>
            <color indexed="81"/>
            <rFont val="Arial"/>
            <family val="2"/>
          </rPr>
          <t>Original - _x000D_
587,120_x000D_
Change Order - _x000D_
7,678</t>
        </r>
      </text>
    </comment>
    <comment ref="I65" authorId="0" shapeId="0" xr:uid="{8D9A1106-416C-4B83-9709-83AE73AC729E}">
      <text>
        <r>
          <rPr>
            <sz val="10"/>
            <color indexed="81"/>
            <rFont val="Arial"/>
            <family val="2"/>
          </rPr>
          <t>1 - 734,313_x000D_
2 - 734,313_x000D_
3 - 734,313_x000D_
4 - 734,313_x000D_
5 - 734,313_x000D_
6 - 734,313</t>
        </r>
      </text>
    </comment>
    <comment ref="M65" authorId="0" shapeId="0" xr:uid="{E305E432-DDEB-4356-B1C3-C0E5BB735E5E}">
      <text>
        <r>
          <rPr>
            <sz val="10"/>
            <color indexed="81"/>
            <rFont val="Arial"/>
            <family val="2"/>
          </rPr>
          <t>1 - 454,069_x000D_
2 - 454,069_x000D_
3 - 454,069_x000D_
4 - 454,069_x000D_
5 - 454,069_x000D_
6 - 454,069</t>
        </r>
      </text>
    </comment>
    <comment ref="E66" authorId="0" shapeId="0" xr:uid="{55416393-5CBB-4E35-BC1C-E7F8B0F43481}">
      <text>
        <r>
          <rPr>
            <sz val="10"/>
            <color indexed="81"/>
            <rFont val="Arial"/>
            <family val="2"/>
          </rPr>
          <t>Original - _x000D_
148,400_x000D_
Change Order - _x000D_
30,120</t>
        </r>
      </text>
    </comment>
    <comment ref="I66" authorId="0" shapeId="0" xr:uid="{C4C2B910-FEDD-4312-B0C2-D0D38292D2C8}">
      <text>
        <r>
          <rPr>
            <sz val="10"/>
            <color indexed="81"/>
            <rFont val="Arial"/>
            <family val="2"/>
          </rPr>
          <t>1 - 178,520_x000D_
2 - 178,520_x000D_
3 - 178,520_x000D_
4 - 178,520_x000D_
5 - 178,520_x000D_
6 - 178,520</t>
        </r>
      </text>
    </comment>
    <comment ref="M66" authorId="0" shapeId="0" xr:uid="{EBDA3CF5-99AA-4959-B102-E5C709FEC4F7}">
      <text>
        <r>
          <rPr>
            <sz val="10"/>
            <color indexed="81"/>
            <rFont val="Arial"/>
            <family val="2"/>
          </rPr>
          <t>1 - 128,093_x000D_
2 - 128,093_x000D_
3 - 128,093_x000D_
4 - 128,051_x000D_
5 - 126,754_x000D_
6 - 126,754</t>
        </r>
      </text>
    </comment>
    <comment ref="I67" authorId="0" shapeId="0" xr:uid="{3E5527BB-AEA3-47ED-B4C1-FB5562EE8DCB}">
      <text>
        <r>
          <rPr>
            <sz val="10"/>
            <color indexed="81"/>
            <rFont val="Arial"/>
            <family val="2"/>
          </rPr>
          <t>1 - 3,651_x000D_
2 - 3,651_x000D_
3 - 3,651_x000D_
4 - 3,651_x000D_
5 - 3,651_x000D_
6 - 3,651</t>
        </r>
      </text>
    </comment>
    <comment ref="M67" authorId="0" shapeId="0" xr:uid="{0D5BBE1E-092B-4693-AA16-9F2617303575}">
      <text>
        <r>
          <rPr>
            <sz val="10"/>
            <color indexed="81"/>
            <rFont val="Arial"/>
            <family val="2"/>
          </rPr>
          <t>1 - 3,082_x000D_
2 - 3,866_x000D_
3 - 3,866_x000D_
4 - 3,082_x000D_
5 - 3,082_x000D_
6 - 3,082</t>
        </r>
      </text>
    </comment>
    <comment ref="I72" authorId="0" shapeId="0" xr:uid="{812C73BB-7514-4616-8117-8A52AC36CC00}">
      <text>
        <r>
          <rPr>
            <sz val="10"/>
            <color indexed="81"/>
            <rFont val="Arial"/>
            <family val="2"/>
          </rPr>
          <t>1 - 134,977_x000D_
2 - 126,006_x000D_
3 - 126,006_x000D_
4 - 126,006_x000D_
5 - 119,230_x000D_
6 - 119,230</t>
        </r>
      </text>
    </comment>
    <comment ref="M72" authorId="0" shapeId="0" xr:uid="{6AD4A173-6BA2-4FD1-8AA1-51B95792B3D2}">
      <text>
        <r>
          <rPr>
            <sz val="10"/>
            <color indexed="81"/>
            <rFont val="Arial"/>
            <family val="2"/>
          </rPr>
          <t>1 - 123,977_x000D_
2 - 117,483_x000D_
3 - 121,506_x000D_
4 - 117,502_x000D_
5 - 112,230_x000D_
6 - 107,230</t>
        </r>
      </text>
    </comment>
    <comment ref="E73" authorId="0" shapeId="0" xr:uid="{CEAE8D2F-A597-49A1-8BBC-0DD79C273368}">
      <text>
        <r>
          <rPr>
            <sz val="10"/>
            <color indexed="81"/>
            <rFont val="Arial"/>
            <family val="2"/>
          </rPr>
          <t>Original - _x000D_
310,807_x000D_
Change Order - _x000D_
22,192</t>
        </r>
      </text>
    </comment>
    <comment ref="I73" authorId="0" shapeId="0" xr:uid="{440EE9A0-7BC8-49C7-BEE8-3C2121CAB115}">
      <text>
        <r>
          <rPr>
            <sz val="10"/>
            <color indexed="81"/>
            <rFont val="Arial"/>
            <family val="2"/>
          </rPr>
          <t>1 - 332,999_x000D_
2 - 310,807_x000D_
3 - 310,807_x000D_
4 - 310,807_x000D_
5 - 310,807_x000D_
6 - 310,807</t>
        </r>
      </text>
    </comment>
    <comment ref="M73" authorId="0" shapeId="0" xr:uid="{3E4E88D9-2277-4198-B0AD-A5662A29949A}">
      <text>
        <r>
          <rPr>
            <sz val="10"/>
            <color indexed="81"/>
            <rFont val="Arial"/>
            <family val="2"/>
          </rPr>
          <t>1 - 287,999_x000D_
2 - 270,807_x000D_
3 - 270,807_x000D_
4 - 270,807_x000D_
5 - 270,807_x000D_
6 - 270,807</t>
        </r>
      </text>
    </comment>
    <comment ref="I74" authorId="0" shapeId="0" xr:uid="{A2AE9837-AD53-4260-997D-42BC1273F512}">
      <text>
        <r>
          <rPr>
            <sz val="10"/>
            <color indexed="81"/>
            <rFont val="Arial"/>
            <family val="2"/>
          </rPr>
          <t>1 - 33,252_x000D_
2 - 33,252_x000D_
3 - 33,252_x000D_
4 - 33,252_x000D_
5 - 33,252_x000D_
6 - 33,252</t>
        </r>
      </text>
    </comment>
    <comment ref="M74" authorId="0" shapeId="0" xr:uid="{C7475A7F-2BF7-4008-B8BC-19260F2FAC16}">
      <text>
        <r>
          <rPr>
            <sz val="10"/>
            <color indexed="81"/>
            <rFont val="Arial"/>
            <family val="2"/>
          </rPr>
          <t>1 - 12,871_x000D_
2 - 12,871_x000D_
3 - 12,871_x000D_
4 - 12,871_x000D_
5 - 15,353_x000D_
6 - 26,852</t>
        </r>
      </text>
    </comment>
    <comment ref="I75" authorId="0" shapeId="0" xr:uid="{2F2B2C0B-BFBF-409C-960F-8D58D03994ED}">
      <text>
        <r>
          <rPr>
            <sz val="10"/>
            <color indexed="81"/>
            <rFont val="Arial"/>
            <family val="2"/>
          </rPr>
          <t>1 - 21,978_x000D_
2 - 21,978_x000D_
3 - 21,978_x000D_
4 - 0_x000D_
5 - 0_x000D_
6 - 0</t>
        </r>
      </text>
    </comment>
    <comment ref="M75" authorId="0" shapeId="0" xr:uid="{75EE313D-24A3-45D9-B525-090F8A0DC074}">
      <text>
        <r>
          <rPr>
            <sz val="10"/>
            <color indexed="81"/>
            <rFont val="Arial"/>
            <family val="2"/>
          </rPr>
          <t>1 - 7,675_x000D_
2 - 7,675_x000D_
3 - 9,978_x000D_
4 - 0_x000D_
5 - 0_x000D_
6 - 0</t>
        </r>
      </text>
    </comment>
    <comment ref="I76" authorId="0" shapeId="0" xr:uid="{D21691A0-957E-41BA-9A1A-D89A280358C6}">
      <text>
        <r>
          <rPr>
            <sz val="10"/>
            <color indexed="81"/>
            <rFont val="Arial"/>
            <family val="2"/>
          </rPr>
          <t>1 - 56,896_x000D_
2 - 0_x000D_
3 - 0_x000D_
4 - 0_x000D_
5 - 0_x000D_
6 - 0</t>
        </r>
      </text>
    </comment>
    <comment ref="M76" authorId="0" shapeId="0" xr:uid="{2112C497-8D30-423B-942E-3DEC56FE2F18}">
      <text>
        <r>
          <rPr>
            <sz val="10"/>
            <color indexed="81"/>
            <rFont val="Arial"/>
            <family val="2"/>
          </rPr>
          <t>1 - 36,696_x000D_
2 - 0_x000D_
3 - 0_x000D_
4 - 0_x000D_
5 - 0_x000D_
6 - 0</t>
        </r>
      </text>
    </comment>
    <comment ref="I77" authorId="0" shapeId="0" xr:uid="{20EAF931-173C-4F9B-9F5A-3275CAC60D61}">
      <text>
        <r>
          <rPr>
            <sz val="10"/>
            <color indexed="81"/>
            <rFont val="Arial"/>
            <family val="2"/>
          </rPr>
          <t>1 - 25,874_x000D_
2 - 25,874_x000D_
3 - 25,874_x000D_
4 - 25,874_x000D_
5 - 25,874_x000D_
6 - 25,874</t>
        </r>
      </text>
    </comment>
    <comment ref="M77" authorId="0" shapeId="0" xr:uid="{6C73F340-541C-4577-925D-731E18EB580F}">
      <text>
        <r>
          <rPr>
            <sz val="10"/>
            <color indexed="81"/>
            <rFont val="Arial"/>
            <family val="2"/>
          </rPr>
          <t>1 - 22,907_x000D_
2 - 22,907_x000D_
3 - 22,907_x000D_
4 - 22,907_x000D_
5 - 22,907_x000D_
6 - 24,602</t>
        </r>
      </text>
    </comment>
    <comment ref="I78" authorId="0" shapeId="0" xr:uid="{EBDAD344-CC55-4931-95AD-426E75E3ADFD}">
      <text>
        <r>
          <rPr>
            <sz val="10"/>
            <color indexed="81"/>
            <rFont val="Arial"/>
            <family val="2"/>
          </rPr>
          <t>1 - 9,010_x000D_
2 - 9,010_x000D_
3 - 9,010_x000D_
4 - 9,010_x000D_
5 - 4,614_x000D_
6 - 4,614</t>
        </r>
      </text>
    </comment>
    <comment ref="M78" authorId="0" shapeId="0" xr:uid="{72A19EDA-7DE6-4D01-9D3A-08E0DFCDB0EB}">
      <text>
        <r>
          <rPr>
            <sz val="10"/>
            <color indexed="81"/>
            <rFont val="Arial"/>
            <family val="2"/>
          </rPr>
          <t>1 - 8,440_x000D_
2 - 8,440_x000D_
3 - 8,440_x000D_
4 - 8,440_x000D_
5 - 4,410_x000D_
6 - 4,410</t>
        </r>
      </text>
    </comment>
    <comment ref="I79" authorId="0" shapeId="0" xr:uid="{E5C03308-CAA7-43C0-9621-8450E688329C}">
      <text>
        <r>
          <rPr>
            <sz val="10"/>
            <color indexed="81"/>
            <rFont val="Arial"/>
            <family val="2"/>
          </rPr>
          <t>1 - 2,034_x000D_
2 - 2,034_x000D_
3 - 2,034_x000D_
4 - 2,034_x000D_
5 - 0_x000D_
6 - 0</t>
        </r>
      </text>
    </comment>
    <comment ref="M79" authorId="0" shapeId="0" xr:uid="{1965EC8A-6B70-4B26-B39B-827CBA0934CA}">
      <text>
        <r>
          <rPr>
            <sz val="10"/>
            <color indexed="81"/>
            <rFont val="Arial"/>
            <family val="2"/>
          </rPr>
          <t>1 - 1,896_x000D_
2 - 1,896_x000D_
3 - 1,896_x000D_
4 - 1,896_x000D_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13F8F352-EA55-45D3-9B92-61C02AE8A28E}">
      <text>
        <r>
          <rPr>
            <sz val="10"/>
            <color indexed="81"/>
            <rFont val="Arial"/>
            <family val="2"/>
          </rPr>
          <t>1 - 0_x000D_
2 - 0_x000D_
3 - 105,202_x000D_
4 - 0_x000D_
5 - 0_x000D_
6 - 105,202</t>
        </r>
      </text>
    </comment>
    <comment ref="N9" authorId="0" shapeId="0" xr:uid="{4E9E63E3-E32B-4060-B155-2C050C8D9CD8}">
      <text>
        <r>
          <rPr>
            <sz val="10"/>
            <color indexed="81"/>
            <rFont val="Arial"/>
            <family val="2"/>
          </rPr>
          <t>1 - 0_x000D_
2 - 0_x000D_
3 - 115,202_x000D_
4 - 0_x000D_
5 - 0_x000D_
6 - 115,202</t>
        </r>
      </text>
    </comment>
    <comment ref="E10" authorId="0" shapeId="0" xr:uid="{AA1AF9D8-7C62-4566-A4B0-44CDBC4F206A}">
      <text>
        <r>
          <rPr>
            <sz val="10"/>
            <color indexed="81"/>
            <rFont val="Arial"/>
            <family val="2"/>
          </rPr>
          <t>Original - _x000D_
5,800,581_x000D_
Change Order - _x000D_
4,526,746</t>
        </r>
      </text>
    </comment>
    <comment ref="J10" authorId="0" shapeId="0" xr:uid="{03510B32-2AE2-4AD9-85B7-855C2206DC1B}">
      <text>
        <r>
          <rPr>
            <sz val="10"/>
            <color indexed="81"/>
            <rFont val="Arial"/>
            <family val="2"/>
          </rPr>
          <t>1 - 0_x000D_
2 - 0_x000D_
3 - 10,530,003_x000D_
4 - 0_x000D_
5 - 0_x000D_
6 - 10,454,058</t>
        </r>
      </text>
    </comment>
    <comment ref="N10" authorId="0" shapeId="0" xr:uid="{568D7D3C-92F1-4ED6-A16C-5C481DB893F3}">
      <text>
        <r>
          <rPr>
            <sz val="10"/>
            <color indexed="81"/>
            <rFont val="Arial"/>
            <family val="2"/>
          </rPr>
          <t>1 - 0_x000D_
2 - 0_x000D_
3 - 9,550,003_x000D_
4 - 0_x000D_
5 - 0_x000D_
6 - 9,479,058</t>
        </r>
      </text>
    </comment>
    <comment ref="E11" authorId="0" shapeId="0" xr:uid="{1068B722-9AEB-487A-BF7C-AB0A6C79E5F3}">
      <text>
        <r>
          <rPr>
            <sz val="10"/>
            <color indexed="81"/>
            <rFont val="Arial"/>
            <family val="2"/>
          </rPr>
          <t>Original - _x000D_
2,536,720_x000D_
Change Order - _x000D_
986,722</t>
        </r>
      </text>
    </comment>
    <comment ref="J11" authorId="0" shapeId="0" xr:uid="{3BD898FA-836C-4CC8-A3BA-5D1C60691C4B}">
      <text>
        <r>
          <rPr>
            <sz val="10"/>
            <color indexed="81"/>
            <rFont val="Arial"/>
            <family val="2"/>
          </rPr>
          <t>1 - 0_x000D_
2 - 0_x000D_
3 - 3,497,075_x000D_
4 - 0_x000D_
5 - 0_x000D_
6 - 3,296,397</t>
        </r>
      </text>
    </comment>
    <comment ref="N11" authorId="0" shapeId="0" xr:uid="{83D77D01-0DBB-44FA-8A51-59254E284688}">
      <text>
        <r>
          <rPr>
            <sz val="10"/>
            <color indexed="81"/>
            <rFont val="Arial"/>
            <family val="2"/>
          </rPr>
          <t>1 - 0_x000D_
2 - 0_x000D_
3 - 3,097,075_x000D_
4 - 0_x000D_
5 - 0_x000D_
6 - 2,956,397</t>
        </r>
      </text>
    </comment>
    <comment ref="E12" authorId="0" shapeId="0" xr:uid="{1326F635-6FF4-45E5-8A33-BD33D08D8F3A}">
      <text>
        <r>
          <rPr>
            <sz val="10"/>
            <color indexed="81"/>
            <rFont val="Arial"/>
            <family val="2"/>
          </rPr>
          <t>Original - _x000D_
2,691,094_x000D_
Change Order - _x000D_
141,636</t>
        </r>
      </text>
    </comment>
    <comment ref="J12" authorId="0" shapeId="0" xr:uid="{F834606B-0F65-4557-9832-CBA1CCDF5962}">
      <text>
        <r>
          <rPr>
            <sz val="10"/>
            <color indexed="81"/>
            <rFont val="Arial"/>
            <family val="2"/>
          </rPr>
          <t>1 - 0_x000D_
2 - 0_x000D_
3 - 2,794,794_x000D_
4 - 0_x000D_
5 - 0_x000D_
6 - 2,794,794</t>
        </r>
      </text>
    </comment>
    <comment ref="N12" authorId="0" shapeId="0" xr:uid="{0D28F793-7798-4267-A17B-6A2135F278A6}">
      <text>
        <r>
          <rPr>
            <sz val="10"/>
            <color indexed="81"/>
            <rFont val="Arial"/>
            <family val="2"/>
          </rPr>
          <t>1 - 0_x000D_
2 - 0_x000D_
3 - 2,654,794_x000D_
4 - 0_x000D_
5 - 0_x000D_
6 - 2,639,794</t>
        </r>
      </text>
    </comment>
    <comment ref="J13" authorId="0" shapeId="0" xr:uid="{771B7439-251C-4C67-9E3F-B414FE5B6550}">
      <text>
        <r>
          <rPr>
            <sz val="10"/>
            <color indexed="81"/>
            <rFont val="Arial"/>
            <family val="2"/>
          </rPr>
          <t>1 - 0_x000D_
2 - 0_x000D_
3 - 1,294,297_x000D_
4 - 0_x000D_
5 - 0_x000D_
6 - 1,294,297</t>
        </r>
      </text>
    </comment>
    <comment ref="N13" authorId="0" shapeId="0" xr:uid="{EBCCF4C0-9912-4CB5-AA35-173777F14B3F}">
      <text>
        <r>
          <rPr>
            <sz val="10"/>
            <color indexed="81"/>
            <rFont val="Arial"/>
            <family val="2"/>
          </rPr>
          <t>1 - 0_x000D_
2 - 0_x000D_
3 - 1,184,297_x000D_
4 - 0_x000D_
5 - 0_x000D_
6 - 1,184,297</t>
        </r>
      </text>
    </comment>
    <comment ref="E14" authorId="0" shapeId="0" xr:uid="{0E3F228B-4AEF-4703-AD70-992D8F8392BA}">
      <text>
        <r>
          <rPr>
            <sz val="10"/>
            <color indexed="81"/>
            <rFont val="Arial"/>
            <family val="2"/>
          </rPr>
          <t>Original - _x000D_
1,218,717_x000D_
Change Order - _x000D_
459,377</t>
        </r>
      </text>
    </comment>
    <comment ref="J14" authorId="0" shapeId="0" xr:uid="{035B5C55-85BD-4FA4-B05E-41A65B55EC3F}">
      <text>
        <r>
          <rPr>
            <sz val="10"/>
            <color indexed="81"/>
            <rFont val="Arial"/>
            <family val="2"/>
          </rPr>
          <t>1 - 0_x000D_
2 - 0_x000D_
3 - 1,678,093_x000D_
4 - 0_x000D_
5 - 0_x000D_
6 - 1,257,787</t>
        </r>
      </text>
    </comment>
    <comment ref="N14" authorId="0" shapeId="0" xr:uid="{6683EE5A-AB6D-48AF-AE36-D19801344BF7}">
      <text>
        <r>
          <rPr>
            <sz val="10"/>
            <color indexed="81"/>
            <rFont val="Arial"/>
            <family val="2"/>
          </rPr>
          <t>1 - 0_x000D_
2 - 0_x000D_
3 - 1,378,093_x000D_
4 - 0_x000D_
5 - 0_x000D_
6 - 977,787</t>
        </r>
      </text>
    </comment>
    <comment ref="E15" authorId="0" shapeId="0" xr:uid="{9F40EAE6-8A89-436F-8EA9-EBA6214C9447}">
      <text>
        <r>
          <rPr>
            <sz val="10"/>
            <color indexed="81"/>
            <rFont val="Arial"/>
            <family val="2"/>
          </rPr>
          <t>Original - _x000D_
9,653,846_x000D_
Change Order - _x000D_
46,599</t>
        </r>
      </text>
    </comment>
    <comment ref="J15" authorId="0" shapeId="0" xr:uid="{15AA7147-3FE8-486D-A5D3-6F5F3C2B72C4}">
      <text>
        <r>
          <rPr>
            <sz val="10"/>
            <color indexed="81"/>
            <rFont val="Arial"/>
            <family val="2"/>
          </rPr>
          <t>1 - 0_x000D_
2 - 0_x000D_
3 - 9,668,743_x000D_
4 - 0_x000D_
5 - 0_x000D_
6 - 9,668,743</t>
        </r>
      </text>
    </comment>
    <comment ref="N15" authorId="0" shapeId="0" xr:uid="{EDA6591D-CB14-4C9C-801F-A6A58B59F460}">
      <text>
        <r>
          <rPr>
            <sz val="10"/>
            <color indexed="81"/>
            <rFont val="Arial"/>
            <family val="2"/>
          </rPr>
          <t>1 - 0_x000D_
2 - 0_x000D_
3 - 9,323,743_x000D_
4 - 0_x000D_
5 - 0_x000D_
6 - 9,193,743</t>
        </r>
      </text>
    </comment>
    <comment ref="E16" authorId="0" shapeId="0" xr:uid="{6E61590B-A228-45E6-8F37-3DF8026C651B}">
      <text>
        <r>
          <rPr>
            <sz val="10"/>
            <color indexed="81"/>
            <rFont val="Arial"/>
            <family val="2"/>
          </rPr>
          <t>Original - _x000D_
84,275_x000D_
Change Order - _x000D_
11,073</t>
        </r>
      </text>
    </comment>
    <comment ref="J16" authorId="0" shapeId="0" xr:uid="{3FDA102B-D067-458F-A904-A78E19B8C579}">
      <text>
        <r>
          <rPr>
            <sz val="10"/>
            <color indexed="81"/>
            <rFont val="Arial"/>
            <family val="2"/>
          </rPr>
          <t>1 - 0_x000D_
2 - 0_x000D_
3 - 95,348_x000D_
4 - 0_x000D_
5 - 0_x000D_
6 - 84,275</t>
        </r>
      </text>
    </comment>
    <comment ref="N16" authorId="0" shapeId="0" xr:uid="{218DD591-5F5A-4BE6-AF82-34375080CC2E}">
      <text>
        <r>
          <rPr>
            <sz val="10"/>
            <color indexed="81"/>
            <rFont val="Arial"/>
            <family val="2"/>
          </rPr>
          <t>1 - 0_x000D_
2 - 0_x000D_
3 - 80,848_x000D_
4 - 0_x000D_
5 - 0_x000D_
6 - 69,775</t>
        </r>
      </text>
    </comment>
    <comment ref="E17" authorId="0" shapeId="0" xr:uid="{5C2F1FC4-EC35-41C5-AFB5-3624D0977826}">
      <text>
        <r>
          <rPr>
            <sz val="10"/>
            <color indexed="81"/>
            <rFont val="Arial"/>
            <family val="2"/>
          </rPr>
          <t>Original - _x000D_
1,260,917_x000D_
Change Order - _x000D_
59,590</t>
        </r>
      </text>
    </comment>
    <comment ref="J17" authorId="0" shapeId="0" xr:uid="{D8604A48-ED5D-4593-B492-227A3CAE2A06}">
      <text>
        <r>
          <rPr>
            <sz val="10"/>
            <color indexed="81"/>
            <rFont val="Arial"/>
            <family val="2"/>
          </rPr>
          <t>1 - 0_x000D_
2 - 0_x000D_
3 - 1,291,858_x000D_
4 - 0_x000D_
5 - 0_x000D_
6 - 1,260,917</t>
        </r>
      </text>
    </comment>
    <comment ref="N17" authorId="0" shapeId="0" xr:uid="{8395AF4A-3797-4542-AF9D-836398A64E07}">
      <text>
        <r>
          <rPr>
            <sz val="10"/>
            <color indexed="81"/>
            <rFont val="Arial"/>
            <family val="2"/>
          </rPr>
          <t>1 - 0_x000D_
2 - 0_x000D_
3 - 1,071,858_x000D_
4 - 0_x000D_
5 - 0_x000D_
6 - 1,175,917</t>
        </r>
      </text>
    </comment>
    <comment ref="E18" authorId="0" shapeId="0" xr:uid="{01E15A93-8256-4CB5-8682-AA5E7335028C}">
      <text>
        <r>
          <rPr>
            <sz val="10"/>
            <color indexed="81"/>
            <rFont val="Arial"/>
            <family val="2"/>
          </rPr>
          <t>Original - _x000D_
3,418,503_x000D_
Change Order - _x000D_
-132,682</t>
        </r>
      </text>
    </comment>
    <comment ref="J18" authorId="0" shapeId="0" xr:uid="{FF2D7BA2-05C7-49E6-95E2-AFDCD7463991}">
      <text>
        <r>
          <rPr>
            <sz val="10"/>
            <color indexed="81"/>
            <rFont val="Arial"/>
            <family val="2"/>
          </rPr>
          <t>1 - 0_x000D_
2 - 0_x000D_
3 - 3,374,782_x000D_
4 - 0_x000D_
5 - 0_x000D_
6 - 3,300,638</t>
        </r>
      </text>
    </comment>
    <comment ref="N18" authorId="0" shapeId="0" xr:uid="{D4064804-5664-4E1E-97F7-A9A6D7A900EF}">
      <text>
        <r>
          <rPr>
            <sz val="10"/>
            <color indexed="81"/>
            <rFont val="Arial"/>
            <family val="2"/>
          </rPr>
          <t>1 - 0_x000D_
2 - 0_x000D_
3 - 3,119,782_x000D_
4 - 0_x000D_
5 - 0_x000D_
6 - 3,075,638</t>
        </r>
      </text>
    </comment>
    <comment ref="E19" authorId="0" shapeId="0" xr:uid="{98E4E644-F0C3-4B4B-9E92-E03B0D80DCF1}">
      <text>
        <r>
          <rPr>
            <sz val="10"/>
            <color indexed="81"/>
            <rFont val="Arial"/>
            <family val="2"/>
          </rPr>
          <t>Original - _x000D_
965,805_x000D_
Change Order - _x000D_
324,068</t>
        </r>
      </text>
    </comment>
    <comment ref="J19" authorId="0" shapeId="0" xr:uid="{FA269F21-FC1D-42E3-BD3A-728C35CFBA36}">
      <text>
        <r>
          <rPr>
            <sz val="10"/>
            <color indexed="81"/>
            <rFont val="Arial"/>
            <family val="2"/>
          </rPr>
          <t>1 - 0_x000D_
2 - 0_x000D_
3 - 1,294,873_x000D_
4 - 0_x000D_
5 - 0_x000D_
6 - 1,263,028</t>
        </r>
      </text>
    </comment>
    <comment ref="N19" authorId="0" shapeId="0" xr:uid="{E956104E-F8F4-433D-8945-D4F9EAD290BD}">
      <text>
        <r>
          <rPr>
            <sz val="10"/>
            <color indexed="81"/>
            <rFont val="Arial"/>
            <family val="2"/>
          </rPr>
          <t>1 - 0_x000D_
2 - 0_x000D_
3 - 1,034,873_x000D_
4 - 0_x000D_
5 - 0_x000D_
6 - 993,028</t>
        </r>
      </text>
    </comment>
    <comment ref="E20" authorId="0" shapeId="0" xr:uid="{376420CE-C7B4-4DDA-BFA1-EAB857E39022}">
      <text>
        <r>
          <rPr>
            <sz val="10"/>
            <color indexed="81"/>
            <rFont val="Arial"/>
            <family val="2"/>
          </rPr>
          <t>Original - _x000D_
9,950,023_x000D_
Change Order - _x000D_
36,983</t>
        </r>
      </text>
    </comment>
    <comment ref="J20" authorId="0" shapeId="0" xr:uid="{7ADA8CE0-8624-44FD-9BE1-5AAE6B2349C7}">
      <text>
        <r>
          <rPr>
            <sz val="10"/>
            <color indexed="81"/>
            <rFont val="Arial"/>
            <family val="2"/>
          </rPr>
          <t>1 - 0_x000D_
2 - 0_x000D_
3 - 9,967,206_x000D_
4 - 0_x000D_
5 - 0_x000D_
6 - 9,950,023</t>
        </r>
      </text>
    </comment>
    <comment ref="N20" authorId="0" shapeId="0" xr:uid="{048386A8-FBDB-4E77-B09D-EF216478E515}">
      <text>
        <r>
          <rPr>
            <sz val="10"/>
            <color indexed="81"/>
            <rFont val="Arial"/>
            <family val="2"/>
          </rPr>
          <t>1 - 0_x000D_
2 - 0_x000D_
3 - 9,507,206_x000D_
4 - 0_x000D_
5 - 0_x000D_
6 - 9,500,023</t>
        </r>
      </text>
    </comment>
    <comment ref="J21" authorId="0" shapeId="0" xr:uid="{FE45B708-F470-4BDC-871E-95B02F01EE9E}">
      <text>
        <r>
          <rPr>
            <sz val="10"/>
            <color indexed="81"/>
            <rFont val="Arial"/>
            <family val="2"/>
          </rPr>
          <t>1 - 0_x000D_
2 - 0_x000D_
3 - 168,405_x000D_
4 - 0_x000D_
5 - 0_x000D_
6 - 168,405</t>
        </r>
      </text>
    </comment>
    <comment ref="N21" authorId="0" shapeId="0" xr:uid="{2FE4F0EA-8B1A-4310-BD60-43494CB63A1F}">
      <text>
        <r>
          <rPr>
            <sz val="10"/>
            <color indexed="81"/>
            <rFont val="Arial"/>
            <family val="2"/>
          </rPr>
          <t>1 - 0_x000D_
2 - 0_x000D_
3 - 145,405_x000D_
4 - 0_x000D_
5 - 0_x000D_
6 - 145,405</t>
        </r>
      </text>
    </comment>
    <comment ref="J22" authorId="0" shapeId="0" xr:uid="{9AC1C68B-BCE3-4080-BD5D-329A3364D443}">
      <text>
        <r>
          <rPr>
            <sz val="10"/>
            <color indexed="81"/>
            <rFont val="Arial"/>
            <family val="2"/>
          </rPr>
          <t>1 - 0_x000D_
2 - 0_x000D_
3 - 218,115_x000D_
4 - 0_x000D_
5 - 0_x000D_
6 - 218,115</t>
        </r>
      </text>
    </comment>
    <comment ref="N22" authorId="0" shapeId="0" xr:uid="{CC0B7618-FC90-4A74-AD46-90FCE0F03F59}">
      <text>
        <r>
          <rPr>
            <sz val="10"/>
            <color indexed="81"/>
            <rFont val="Arial"/>
            <family val="2"/>
          </rPr>
          <t>1 - 0_x000D_
2 - 0_x000D_
3 - 189,115_x000D_
4 - 0_x000D_
5 - 0_x000D_
6 - 189,115</t>
        </r>
      </text>
    </comment>
    <comment ref="J23" authorId="0" shapeId="0" xr:uid="{2341FBC1-4142-4ADD-9DBB-CA1A7F39D5F0}">
      <text>
        <r>
          <rPr>
            <sz val="10"/>
            <color indexed="81"/>
            <rFont val="Arial"/>
            <family val="2"/>
          </rPr>
          <t>1 - 0_x000D_
2 - 0_x000D_
3 - 9,950,023_x000D_
4 - 0_x000D_
5 - 0_x000D_
6 - 0</t>
        </r>
      </text>
    </comment>
    <comment ref="N23" authorId="0" shapeId="0" xr:uid="{B92CB6FF-387A-4B8D-A1ED-7D0CC1345104}">
      <text>
        <r>
          <rPr>
            <sz val="10"/>
            <color indexed="81"/>
            <rFont val="Arial"/>
            <family val="2"/>
          </rPr>
          <t>1 - 0_x000D_
2 - 0_x000D_
3 - 9,475,023_x000D_
4 - 0_x000D_
5 - 0_x000D_
6 - 0</t>
        </r>
      </text>
    </comment>
    <comment ref="J24" authorId="0" shapeId="0" xr:uid="{9A75E3ED-A5E6-4981-9B29-01CD54D012F6}">
      <text>
        <r>
          <rPr>
            <sz val="9"/>
            <color indexed="81"/>
            <rFont val="Arial"/>
            <family val="2"/>
          </rPr>
          <t>Changed $699,952.00 to $699,952.00 by ExcelImport on 04/06/2026</t>
        </r>
      </text>
    </comment>
    <comment ref="N24" authorId="0" shapeId="0" xr:uid="{8538CB53-5261-41E3-8214-39C7618F1E31}">
      <text>
        <r>
          <rPr>
            <sz val="9"/>
            <color indexed="81"/>
            <rFont val="Arial"/>
            <family val="2"/>
          </rPr>
          <t>Changed $609,496.55 to $654,952.00 by ExcelImport on 04/06/2026</t>
        </r>
      </text>
    </comment>
    <comment ref="J36" authorId="0" shapeId="0" xr:uid="{79FC455E-6405-41D4-A8EC-0CC326FB67DF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36" authorId="0" shapeId="0" xr:uid="{ADB39C4F-DDED-4908-A327-1314B34A7F10}">
      <text>
        <r>
          <rPr>
            <sz val="10"/>
            <color indexed="81"/>
            <rFont val="Arial"/>
            <family val="2"/>
          </rPr>
          <t>1 - 0_x000D_
2 - 0_x000D_
3 - 288,325_x000D_
4 - 0_x000D_
5 - 0_x000D_
6 - 201,962</t>
        </r>
      </text>
    </comment>
    <comment ref="J37" authorId="0" shapeId="0" xr:uid="{82B40B9F-672E-400A-A05D-3F4EBB0AD25F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37" authorId="0" shapeId="0" xr:uid="{045C1DE9-7824-45FB-A2EB-532C3522C81B}">
      <text>
        <r>
          <rPr>
            <sz val="10"/>
            <color indexed="81"/>
            <rFont val="Arial"/>
            <family val="2"/>
          </rPr>
          <t>1 - 0_x000D_
2 - 0_x000D_
3 - 98,464_x000D_
4 - 0_x000D_
5 - 0_x000D_
6 - 65,336</t>
        </r>
      </text>
    </comment>
    <comment ref="J38" authorId="0" shapeId="0" xr:uid="{4B843CEE-BAE9-44B1-A00C-CAE1E3CE94CC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38" authorId="0" shapeId="0" xr:uid="{81AFE8D4-8D80-4E71-9CDC-59AA819BEAD7}">
      <text>
        <r>
          <rPr>
            <sz val="10"/>
            <color indexed="81"/>
            <rFont val="Arial"/>
            <family val="2"/>
          </rPr>
          <t>1 - 0_x000D_
2 - 0_x000D_
3 - 4,976_x000D_
4 - 0_x000D_
5 - 0_x000D_
6 - 8,461</t>
        </r>
      </text>
    </comment>
    <comment ref="J39" authorId="0" shapeId="0" xr:uid="{B19C17F3-3E3F-4ED4-B6A1-E6FF6CA0E227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39" authorId="0" shapeId="0" xr:uid="{EC6E9EF6-1C3D-4487-9372-4FBBB1E6FEC7}">
      <text>
        <r>
          <rPr>
            <sz val="10"/>
            <color indexed="81"/>
            <rFont val="Arial"/>
            <family val="2"/>
          </rPr>
          <t>1 - 0_x000D_
2 - 0_x000D_
3 - 7,604_x000D_
4 - 0_x000D_
5 - 0_x000D_
6 - 7,604</t>
        </r>
      </text>
    </comment>
    <comment ref="J40" authorId="0" shapeId="0" xr:uid="{79A3AE08-DFF7-4499-85A4-87831E879729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40" authorId="0" shapeId="0" xr:uid="{151058AA-465C-45AF-8D85-2D8AD44CBF91}">
      <text>
        <r>
          <rPr>
            <sz val="10"/>
            <color indexed="81"/>
            <rFont val="Arial"/>
            <family val="2"/>
          </rPr>
          <t>1 - 0_x000D_
2 - 0_x000D_
3 - 248,481_x000D_
4 - 0_x000D_
5 - 0_x000D_
6 - 138,912</t>
        </r>
      </text>
    </comment>
    <comment ref="J41" authorId="0" shapeId="0" xr:uid="{1142DF50-E539-4D30-BA53-16B5C47C9A9F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41" authorId="0" shapeId="0" xr:uid="{190714D5-5E92-4E3F-B780-819E5D61A865}">
      <text>
        <r>
          <rPr>
            <sz val="10"/>
            <color indexed="81"/>
            <rFont val="Arial"/>
            <family val="2"/>
          </rPr>
          <t>1 - 0_x000D_
2 - 0_x000D_
3 - 22,435_x000D_
4 - 0_x000D_
5 - 0_x000D_
6 - 16,586</t>
        </r>
      </text>
    </comment>
    <comment ref="E42" authorId="0" shapeId="0" xr:uid="{EF2AFB54-6A19-42E7-8643-7A546EFD10B4}">
      <text>
        <r>
          <rPr>
            <sz val="10"/>
            <color indexed="81"/>
            <rFont val="Arial"/>
            <family val="2"/>
          </rPr>
          <t>Original - _x000D_
5,162,388_x000D_
Change Order - _x000D_
200,253</t>
        </r>
      </text>
    </comment>
    <comment ref="E43" authorId="0" shapeId="0" xr:uid="{23FF1384-E1CC-4D21-AC19-964D80F8B23A}">
      <text>
        <r>
          <rPr>
            <sz val="10"/>
            <color indexed="81"/>
            <rFont val="Arial"/>
            <family val="2"/>
          </rPr>
          <t>Original - _x000D_
652,153_x000D_
Change Order - _x000D_
48,195</t>
        </r>
      </text>
    </comment>
    <comment ref="E44" authorId="0" shapeId="0" xr:uid="{8C9D55D0-0680-4B53-83F6-B2062DCBDD30}">
      <text>
        <r>
          <rPr>
            <sz val="10"/>
            <color indexed="81"/>
            <rFont val="Arial"/>
            <family val="2"/>
          </rPr>
          <t>Original - _x000D_
799,732_x000D_
Change Order - _x000D_
25,075</t>
        </r>
      </text>
    </comment>
    <comment ref="E45" authorId="0" shapeId="0" xr:uid="{61C039D1-1F2A-4EF8-AE2F-FAE5BFBBE4F6}">
      <text>
        <r>
          <rPr>
            <sz val="10"/>
            <color indexed="81"/>
            <rFont val="Arial"/>
            <family val="2"/>
          </rPr>
          <t>Original - _x000D_
598,237_x000D_
Change Order - _x000D_
123,132</t>
        </r>
      </text>
    </comment>
    <comment ref="E46" authorId="0" shapeId="0" xr:uid="{975B4BE9-FC49-427F-85FA-96840B2D82CB}">
      <text>
        <r>
          <rPr>
            <sz val="10"/>
            <color indexed="81"/>
            <rFont val="Arial"/>
            <family val="2"/>
          </rPr>
          <t>Original - _x000D_
3,174,700_x000D_
Change Order - _x000D_
88,861</t>
        </r>
      </text>
    </comment>
    <comment ref="E47" authorId="0" shapeId="0" xr:uid="{FB0E6125-AF09-4E19-92BB-07E2C02C0FDF}">
      <text>
        <r>
          <rPr>
            <sz val="10"/>
            <color indexed="81"/>
            <rFont val="Arial"/>
            <family val="2"/>
          </rPr>
          <t>Original - _x000D_
556,000_x000D_
Change Order - _x000D_
91,803</t>
        </r>
      </text>
    </comment>
    <comment ref="E48" authorId="0" shapeId="0" xr:uid="{33028DCB-B8CB-4FCE-BF6D-735D4D6B9FDF}">
      <text>
        <r>
          <rPr>
            <sz val="10"/>
            <color indexed="81"/>
            <rFont val="Arial"/>
            <family val="2"/>
          </rPr>
          <t>Original - _x000D_
24,000_x000D_
Change Order - _x000D_
18,603</t>
        </r>
      </text>
    </comment>
    <comment ref="E49" authorId="0" shapeId="0" xr:uid="{95384503-5DFF-41D2-AB0E-D6F056180BF8}">
      <text>
        <r>
          <rPr>
            <sz val="10"/>
            <color indexed="81"/>
            <rFont val="Arial"/>
            <family val="2"/>
          </rPr>
          <t>Original - _x000D_
2,214,587_x000D_
Change Order - _x000D_
140,830</t>
        </r>
      </text>
    </comment>
    <comment ref="E51" authorId="0" shapeId="0" xr:uid="{66254C48-C274-4FC7-8811-0585A576DF20}">
      <text>
        <r>
          <rPr>
            <sz val="10"/>
            <color indexed="81"/>
            <rFont val="Arial"/>
            <family val="2"/>
          </rPr>
          <t>Original - _x000D_
1,271,280_x000D_
Change Order - _x000D_
90,049</t>
        </r>
      </text>
    </comment>
    <comment ref="E52" authorId="0" shapeId="0" xr:uid="{9D48BDBC-148C-4B7A-903C-D7D15315742A}">
      <text>
        <r>
          <rPr>
            <sz val="10"/>
            <color indexed="81"/>
            <rFont val="Arial"/>
            <family val="2"/>
          </rPr>
          <t>Original - _x000D_
2,234,648_x000D_
Change Order - _x000D_
82,580</t>
        </r>
      </text>
    </comment>
    <comment ref="E53" authorId="0" shapeId="0" xr:uid="{4F9FF43E-1417-43A3-8D99-544D97E6CD09}">
      <text>
        <r>
          <rPr>
            <sz val="10"/>
            <color indexed="81"/>
            <rFont val="Arial"/>
            <family val="2"/>
          </rPr>
          <t>Original - _x000D_
4,507,013_x000D_
Change Order - _x000D_
660,908</t>
        </r>
      </text>
    </comment>
    <comment ref="J53" authorId="0" shapeId="0" xr:uid="{204CEE64-F018-471E-B63B-1733403E558A}">
      <text>
        <r>
          <rPr>
            <sz val="10"/>
            <color indexed="81"/>
            <rFont val="Arial"/>
            <family val="2"/>
          </rPr>
          <t>1 - 0_x000D_
2 - 0_x000D_
3 - 5,192,802_x000D_
4 - 0_x000D_
5 - 0_x000D_
6 - 5,192,802</t>
        </r>
      </text>
    </comment>
    <comment ref="N53" authorId="0" shapeId="0" xr:uid="{1DC02A58-949B-473B-9F33-3060B5AF8245}">
      <text>
        <r>
          <rPr>
            <sz val="10"/>
            <color indexed="81"/>
            <rFont val="Arial"/>
            <family val="2"/>
          </rPr>
          <t>1 - 0_x000D_
2 - 0_x000D_
3 - 4,329,533_x000D_
4 - 0_x000D_
5 - 0_x000D_
6 - 4,345,548</t>
        </r>
      </text>
    </comment>
    <comment ref="E54" authorId="0" shapeId="0" xr:uid="{E25C78F2-1B6D-49B3-AF00-C3E83A47632D}">
      <text>
        <r>
          <rPr>
            <sz val="10"/>
            <color indexed="81"/>
            <rFont val="Arial"/>
            <family val="2"/>
          </rPr>
          <t>Original - _x000D_
694,477_x000D_
Change Order - _x000D_
5,537</t>
        </r>
      </text>
    </comment>
    <comment ref="J54" authorId="0" shapeId="0" xr:uid="{65CDF196-4F02-4872-9A63-46FA57ECECAB}">
      <text>
        <r>
          <rPr>
            <sz val="10"/>
            <color indexed="81"/>
            <rFont val="Arial"/>
            <family val="2"/>
          </rPr>
          <t>1 - 0_x000D_
2 - 0_x000D_
3 - 700,014_x000D_
4 - 0_x000D_
5 - 0_x000D_
6 - 694,995</t>
        </r>
      </text>
    </comment>
    <comment ref="N54" authorId="0" shapeId="0" xr:uid="{695D48B5-E854-4D51-A1A0-8AD27EA25194}">
      <text>
        <r>
          <rPr>
            <sz val="10"/>
            <color indexed="81"/>
            <rFont val="Arial"/>
            <family val="2"/>
          </rPr>
          <t>1 - 0_x000D_
2 - 0_x000D_
3 - 550,014_x000D_
4 - 0_x000D_
5 - 0_x000D_
6 - 559,995</t>
        </r>
      </text>
    </comment>
    <comment ref="E55" authorId="0" shapeId="0" xr:uid="{5E4B01B7-389E-412D-87F6-71A923585852}">
      <text>
        <r>
          <rPr>
            <sz val="10"/>
            <color indexed="81"/>
            <rFont val="Arial"/>
            <family val="2"/>
          </rPr>
          <t>Original - _x000D_
3,131,700_x000D_
Change Order - _x000D_
-684,345</t>
        </r>
      </text>
    </comment>
    <comment ref="E56" authorId="0" shapeId="0" xr:uid="{787D870F-DB72-4E91-89B1-454B12FA18A2}">
      <text>
        <r>
          <rPr>
            <sz val="10"/>
            <color indexed="81"/>
            <rFont val="Arial"/>
            <family val="2"/>
          </rPr>
          <t>Original - _x000D_
1,592,500_x000D_
Change Order - _x000D_
10,710</t>
        </r>
      </text>
    </comment>
    <comment ref="J56" authorId="0" shapeId="0" xr:uid="{650051D5-1ED6-4621-860A-335DDD741B80}">
      <text>
        <r>
          <rPr>
            <sz val="10"/>
            <color indexed="81"/>
            <rFont val="Arial"/>
            <family val="2"/>
          </rPr>
          <t>1 - 0_x000D_
2 - 0_x000D_
3 - 1,603,210_x000D_
4 - 0_x000D_
5 - 0_x000D_
6 - 1,603,210</t>
        </r>
      </text>
    </comment>
    <comment ref="N56" authorId="0" shapeId="0" xr:uid="{0C635F2C-FA23-4587-8D94-54CEBA605503}">
      <text>
        <r>
          <rPr>
            <sz val="10"/>
            <color indexed="81"/>
            <rFont val="Arial"/>
            <family val="2"/>
          </rPr>
          <t>1 - 0_x000D_
2 - 0_x000D_
3 - 1,431,097_x000D_
4 - 0_x000D_
5 - 0_x000D_
6 - 1,433,210</t>
        </r>
      </text>
    </comment>
    <comment ref="E57" authorId="0" shapeId="0" xr:uid="{A84018BD-9CBA-48A3-BBDB-0B4BFA4633CB}">
      <text>
        <r>
          <rPr>
            <sz val="10"/>
            <color indexed="81"/>
            <rFont val="Arial"/>
            <family val="2"/>
          </rPr>
          <t>Original - _x000D_
1,774,274_x000D_
Change Order - _x000D_
59,537</t>
        </r>
      </text>
    </comment>
    <comment ref="J57" authorId="0" shapeId="0" xr:uid="{0F67783F-D65E-4C20-86D0-BA7D9ABAFFBE}">
      <text>
        <r>
          <rPr>
            <sz val="10"/>
            <color indexed="81"/>
            <rFont val="Arial"/>
            <family val="2"/>
          </rPr>
          <t>1 - 0_x000D_
2 - 0_x000D_
3 - 1,815,311_x000D_
4 - 0_x000D_
5 - 0_x000D_
6 - 1,815,311</t>
        </r>
      </text>
    </comment>
    <comment ref="N57" authorId="0" shapeId="0" xr:uid="{4DF79433-2C95-4673-9F3B-4AFC5E3B9FE1}">
      <text>
        <r>
          <rPr>
            <sz val="10"/>
            <color indexed="81"/>
            <rFont val="Arial"/>
            <family val="2"/>
          </rPr>
          <t>1 - 0_x000D_
2 - 0_x000D_
3 - 1,559,760_x000D_
4 - 0_x000D_
5 - 0_x000D_
6 - 1,567,697</t>
        </r>
      </text>
    </comment>
    <comment ref="E58" authorId="0" shapeId="0" xr:uid="{A803EFA6-386F-4418-8AE4-F52B0F811A57}">
      <text>
        <r>
          <rPr>
            <sz val="10"/>
            <color indexed="81"/>
            <rFont val="Arial"/>
            <family val="2"/>
          </rPr>
          <t>Original - _x000D_
1,016,680_x000D_
Change Order - _x000D_
79,100</t>
        </r>
      </text>
    </comment>
    <comment ref="E59" authorId="0" shapeId="0" xr:uid="{E981DA35-5C9E-40C9-8E40-100052E12F59}">
      <text>
        <r>
          <rPr>
            <sz val="10"/>
            <color indexed="81"/>
            <rFont val="Arial"/>
            <family val="2"/>
          </rPr>
          <t>Original - _x000D_
58,000_x000D_
Change Order - _x000D_
160,864</t>
        </r>
      </text>
    </comment>
    <comment ref="J59" authorId="0" shapeId="0" xr:uid="{CAE0071C-CEE5-40CC-A235-E5E1B5F64FD5}">
      <text>
        <r>
          <rPr>
            <sz val="10"/>
            <color indexed="81"/>
            <rFont val="Arial"/>
            <family val="2"/>
          </rPr>
          <t>1 - 0_x000D_
2 - 0_x000D_
3 - 218,864_x000D_
4 - 0_x000D_
5 - 0_x000D_
6 - 218,864</t>
        </r>
      </text>
    </comment>
    <comment ref="N59" authorId="0" shapeId="0" xr:uid="{26D68265-482A-40F1-BB14-665728E95111}">
      <text>
        <r>
          <rPr>
            <sz val="10"/>
            <color indexed="81"/>
            <rFont val="Arial"/>
            <family val="2"/>
          </rPr>
          <t>1 - 0_x000D_
2 - 0_x000D_
3 - 148,033_x000D_
4 - 0_x000D_
5 - 0_x000D_
6 - 148,181</t>
        </r>
      </text>
    </comment>
    <comment ref="E60" authorId="0" shapeId="0" xr:uid="{176EBEA0-7ACE-40EB-92CB-7DC24CC5CA75}">
      <text>
        <r>
          <rPr>
            <sz val="10"/>
            <color indexed="81"/>
            <rFont val="Arial"/>
            <family val="2"/>
          </rPr>
          <t>Original - _x000D_
5,233,895_x000D_
Change Order - _x000D_
61,652</t>
        </r>
      </text>
    </comment>
    <comment ref="J60" authorId="0" shapeId="0" xr:uid="{A93612F5-7018-4096-B5B3-9610F5D60BE3}">
      <text>
        <r>
          <rPr>
            <sz val="10"/>
            <color indexed="81"/>
            <rFont val="Arial"/>
            <family val="2"/>
          </rPr>
          <t>1 - 0_x000D_
2 - 0_x000D_
3 - 5,256,237_x000D_
4 - 0_x000D_
5 - 0_x000D_
6 - 5,249,337</t>
        </r>
      </text>
    </comment>
    <comment ref="N60" authorId="0" shapeId="0" xr:uid="{4CE50304-778D-4CB6-A905-6898B9B49B8E}">
      <text>
        <r>
          <rPr>
            <sz val="10"/>
            <color indexed="81"/>
            <rFont val="Arial"/>
            <family val="2"/>
          </rPr>
          <t>1 - 0_x000D_
2 - 0_x000D_
3 - 3,703,731_x000D_
4 - 0_x000D_
5 - 0_x000D_
6 - 3,699,337</t>
        </r>
      </text>
    </comment>
    <comment ref="E61" authorId="0" shapeId="0" xr:uid="{6BEE9E91-D364-4FDE-9907-0758875AC79D}">
      <text>
        <r>
          <rPr>
            <sz val="10"/>
            <color indexed="81"/>
            <rFont val="Arial"/>
            <family val="2"/>
          </rPr>
          <t>Original - _x000D_
205,900_x000D_
Change Order - _x000D_
107,432</t>
        </r>
      </text>
    </comment>
    <comment ref="E62" authorId="0" shapeId="0" xr:uid="{60825D88-43C8-48BE-B5AC-87D37BD88D1C}">
      <text>
        <r>
          <rPr>
            <sz val="10"/>
            <color indexed="81"/>
            <rFont val="Arial"/>
            <family val="2"/>
          </rPr>
          <t>Original - _x000D_
1,962,257_x000D_
Change Order - _x000D_
49,609</t>
        </r>
      </text>
    </comment>
    <comment ref="J62" authorId="0" shapeId="0" xr:uid="{71B3CA58-B298-446F-A330-C2E2723EDF30}">
      <text>
        <r>
          <rPr>
            <sz val="10"/>
            <color indexed="81"/>
            <rFont val="Arial"/>
            <family val="2"/>
          </rPr>
          <t>1 - 0_x000D_
2 - 0_x000D_
3 - 2,001,595_x000D_
4 - 0_x000D_
5 - 0_x000D_
6 - 2,009,535</t>
        </r>
      </text>
    </comment>
    <comment ref="N62" authorId="0" shapeId="0" xr:uid="{02C1F049-EA98-462D-8D3C-7786433EF548}">
      <text>
        <r>
          <rPr>
            <sz val="10"/>
            <color indexed="81"/>
            <rFont val="Arial"/>
            <family val="2"/>
          </rPr>
          <t>1 - 0_x000D_
2 - 0_x000D_
3 - 1,658,190_x000D_
4 - 0_x000D_
5 - 0_x000D_
6 - 1,685,535</t>
        </r>
      </text>
    </comment>
    <comment ref="E65" authorId="0" shapeId="0" xr:uid="{8A36F742-F56F-43E6-843E-045734CFD9B6}">
      <text>
        <r>
          <rPr>
            <sz val="10"/>
            <color indexed="81"/>
            <rFont val="Arial"/>
            <family val="2"/>
          </rPr>
          <t>Original - _x000D_
587,120_x000D_
Change Order - _x000D_
7,678</t>
        </r>
      </text>
    </comment>
    <comment ref="J65" authorId="0" shapeId="0" xr:uid="{50A0345F-B1B7-4DC6-BBCE-6FA8146E63F9}">
      <text>
        <r>
          <rPr>
            <sz val="10"/>
            <color indexed="81"/>
            <rFont val="Arial"/>
            <family val="2"/>
          </rPr>
          <t>1 - 0_x000D_
2 - 0_x000D_
3 - 734,313_x000D_
4 - 0_x000D_
5 - 0_x000D_
6 - 734,313</t>
        </r>
      </text>
    </comment>
    <comment ref="N65" authorId="0" shapeId="0" xr:uid="{ED3814E8-E15C-4940-AA20-F9D8EEACFAE6}">
      <text>
        <r>
          <rPr>
            <sz val="10"/>
            <color indexed="81"/>
            <rFont val="Arial"/>
            <family val="2"/>
          </rPr>
          <t>1 - 0_x000D_
2 - 0_x000D_
3 - 454,069_x000D_
4 - 0_x000D_
5 - 0_x000D_
6 - 454,069</t>
        </r>
      </text>
    </comment>
    <comment ref="E66" authorId="0" shapeId="0" xr:uid="{7B4B4EEE-0064-467A-88DE-D667AC195312}">
      <text>
        <r>
          <rPr>
            <sz val="10"/>
            <color indexed="81"/>
            <rFont val="Arial"/>
            <family val="2"/>
          </rPr>
          <t>Original - _x000D_
148,400_x000D_
Change Order - _x000D_
30,120</t>
        </r>
      </text>
    </comment>
    <comment ref="J66" authorId="0" shapeId="0" xr:uid="{1C959CC1-D011-4DDE-BCD9-280834690EB7}">
      <text>
        <r>
          <rPr>
            <sz val="10"/>
            <color indexed="81"/>
            <rFont val="Arial"/>
            <family val="2"/>
          </rPr>
          <t>1 - 0_x000D_
2 - 0_x000D_
3 - 178,520_x000D_
4 - 0_x000D_
5 - 0_x000D_
6 - 178,520</t>
        </r>
      </text>
    </comment>
    <comment ref="N66" authorId="0" shapeId="0" xr:uid="{0BBE72E8-1C0B-45E2-ABE1-1F2F9E88DD76}">
      <text>
        <r>
          <rPr>
            <sz val="10"/>
            <color indexed="81"/>
            <rFont val="Arial"/>
            <family val="2"/>
          </rPr>
          <t>1 - 0_x000D_
2 - 0_x000D_
3 - 128,093_x000D_
4 - 0_x000D_
5 - 0_x000D_
6 - 126,754</t>
        </r>
      </text>
    </comment>
    <comment ref="J67" authorId="0" shapeId="0" xr:uid="{CA0930D4-E6EF-4557-923C-E3FEB192919A}">
      <text>
        <r>
          <rPr>
            <sz val="10"/>
            <color indexed="81"/>
            <rFont val="Arial"/>
            <family val="2"/>
          </rPr>
          <t>1 - 0_x000D_
2 - 0_x000D_
3 - 3,651_x000D_
4 - 0_x000D_
5 - 0_x000D_
6 - 3,651</t>
        </r>
      </text>
    </comment>
    <comment ref="N67" authorId="0" shapeId="0" xr:uid="{46962B43-CCC1-4111-8D00-7D6E971023C6}">
      <text>
        <r>
          <rPr>
            <sz val="10"/>
            <color indexed="81"/>
            <rFont val="Arial"/>
            <family val="2"/>
          </rPr>
          <t>1 - 0_x000D_
2 - 0_x000D_
3 - 3,866_x000D_
4 - 0_x000D_
5 - 0_x000D_
6 - 3,082</t>
        </r>
      </text>
    </comment>
    <comment ref="J72" authorId="0" shapeId="0" xr:uid="{BE3793F7-F0D7-4FDD-BEBC-18628746551C}">
      <text>
        <r>
          <rPr>
            <sz val="10"/>
            <color indexed="81"/>
            <rFont val="Arial"/>
            <family val="2"/>
          </rPr>
          <t>1 - 0_x000D_
2 - 0_x000D_
3 - 126,006_x000D_
4 - 0_x000D_
5 - 0_x000D_
6 - 119,230</t>
        </r>
      </text>
    </comment>
    <comment ref="N72" authorId="0" shapeId="0" xr:uid="{48EBF345-E8F4-477A-A1E2-93F33DC357CC}">
      <text>
        <r>
          <rPr>
            <sz val="10"/>
            <color indexed="81"/>
            <rFont val="Arial"/>
            <family val="2"/>
          </rPr>
          <t>1 - 0_x000D_
2 - 0_x000D_
3 - 121,506_x000D_
4 - 0_x000D_
5 - 0_x000D_
6 - 107,230</t>
        </r>
      </text>
    </comment>
    <comment ref="E73" authorId="0" shapeId="0" xr:uid="{5EAECA2A-7098-492C-A069-95C56C8A3271}">
      <text>
        <r>
          <rPr>
            <sz val="10"/>
            <color indexed="81"/>
            <rFont val="Arial"/>
            <family val="2"/>
          </rPr>
          <t>Original - _x000D_
310,807_x000D_
Change Order - _x000D_
22,192</t>
        </r>
      </text>
    </comment>
    <comment ref="J73" authorId="0" shapeId="0" xr:uid="{540388AF-1771-4E8B-948A-653301F6DBB0}">
      <text>
        <r>
          <rPr>
            <sz val="10"/>
            <color indexed="81"/>
            <rFont val="Arial"/>
            <family val="2"/>
          </rPr>
          <t>1 - 0_x000D_
2 - 0_x000D_
3 - 310,807_x000D_
4 - 0_x000D_
5 - 0_x000D_
6 - 310,807</t>
        </r>
      </text>
    </comment>
    <comment ref="N73" authorId="0" shapeId="0" xr:uid="{2692F4CE-9FB1-461C-8156-49AD41D5FD93}">
      <text>
        <r>
          <rPr>
            <sz val="10"/>
            <color indexed="81"/>
            <rFont val="Arial"/>
            <family val="2"/>
          </rPr>
          <t>1 - 0_x000D_
2 - 0_x000D_
3 - 270,807_x000D_
4 - 0_x000D_
5 - 0_x000D_
6 - 270,807</t>
        </r>
      </text>
    </comment>
    <comment ref="J74" authorId="0" shapeId="0" xr:uid="{5F8B5325-FEDB-4427-8531-2C38072C30CD}">
      <text>
        <r>
          <rPr>
            <sz val="10"/>
            <color indexed="81"/>
            <rFont val="Arial"/>
            <family val="2"/>
          </rPr>
          <t>1 - 0_x000D_
2 - 0_x000D_
3 - 33,252_x000D_
4 - 0_x000D_
5 - 0_x000D_
6 - 33,252</t>
        </r>
      </text>
    </comment>
    <comment ref="N74" authorId="0" shapeId="0" xr:uid="{8E90A997-92AA-4858-AC64-A2DD3067967A}">
      <text>
        <r>
          <rPr>
            <sz val="10"/>
            <color indexed="81"/>
            <rFont val="Arial"/>
            <family val="2"/>
          </rPr>
          <t>1 - 0_x000D_
2 - 0_x000D_
3 - 12,871_x000D_
4 - 0_x000D_
5 - 0_x000D_
6 - 26,852</t>
        </r>
      </text>
    </comment>
    <comment ref="J75" authorId="0" shapeId="0" xr:uid="{D0E87DCD-C1C5-472C-8BC8-072B138C96A7}">
      <text>
        <r>
          <rPr>
            <sz val="10"/>
            <color indexed="81"/>
            <rFont val="Arial"/>
            <family val="2"/>
          </rPr>
          <t>1 - 0_x000D_
2 - 0_x000D_
3 - 21,978_x000D_
4 - 0_x000D_
5 - 0_x000D_
6 - 0</t>
        </r>
      </text>
    </comment>
    <comment ref="N75" authorId="0" shapeId="0" xr:uid="{432A12A7-8CEA-40D7-BEBD-FD2A1A9FE3CA}">
      <text>
        <r>
          <rPr>
            <sz val="10"/>
            <color indexed="81"/>
            <rFont val="Arial"/>
            <family val="2"/>
          </rPr>
          <t>1 - 0_x000D_
2 - 0_x000D_
3 - 9,978_x000D_
4 - 0_x000D_
5 - 0_x000D_
6 - 0</t>
        </r>
      </text>
    </comment>
    <comment ref="J76" authorId="0" shapeId="0" xr:uid="{26C29E4E-F5D0-4496-BB92-51D0816A48E6}">
      <text>
        <r>
          <rPr>
            <sz val="9"/>
            <color indexed="81"/>
            <rFont val="Arial"/>
            <family val="2"/>
          </rPr>
          <t>Changed $46,747.50 to $56,895.80 by ExcelImport on 04/06/2026</t>
        </r>
      </text>
    </comment>
    <comment ref="N76" authorId="0" shapeId="0" xr:uid="{DD4592C1-F764-4FE6-BF6E-D4301402FD4F}">
      <text>
        <r>
          <rPr>
            <sz val="9"/>
            <color indexed="81"/>
            <rFont val="Arial"/>
            <family val="2"/>
          </rPr>
          <t>Changed $35,975.87 to $35,975.87 by ExcelImport on 04/06/2026</t>
        </r>
      </text>
    </comment>
    <comment ref="J77" authorId="0" shapeId="0" xr:uid="{D6AC56F9-CF54-4AC9-8500-3263B9D75BAD}">
      <text>
        <r>
          <rPr>
            <sz val="10"/>
            <color indexed="81"/>
            <rFont val="Arial"/>
            <family val="2"/>
          </rPr>
          <t>1 - 0_x000D_
2 - 0_x000D_
3 - 25,874_x000D_
4 - 0_x000D_
5 - 0_x000D_
6 - 25,874</t>
        </r>
      </text>
    </comment>
    <comment ref="N77" authorId="0" shapeId="0" xr:uid="{9407C527-6BFF-4C5E-82D9-42D07EA050BD}">
      <text>
        <r>
          <rPr>
            <sz val="10"/>
            <color indexed="81"/>
            <rFont val="Arial"/>
            <family val="2"/>
          </rPr>
          <t>1 - 0_x000D_
2 - 0_x000D_
3 - 22,907_x000D_
4 - 0_x000D_
5 - 0_x000D_
6 - 24,602</t>
        </r>
      </text>
    </comment>
    <comment ref="J78" authorId="0" shapeId="0" xr:uid="{18F3AE65-8006-4FF7-A545-61E7BF461A42}">
      <text>
        <r>
          <rPr>
            <sz val="10"/>
            <color indexed="81"/>
            <rFont val="Arial"/>
            <family val="2"/>
          </rPr>
          <t>1 - 0_x000D_
2 - 0_x000D_
3 - 9,010_x000D_
4 - 0_x000D_
5 - 0_x000D_
6 - 4,614</t>
        </r>
      </text>
    </comment>
    <comment ref="N78" authorId="0" shapeId="0" xr:uid="{56F8347F-491C-4816-B9F2-20A0BD8AFB84}">
      <text>
        <r>
          <rPr>
            <sz val="10"/>
            <color indexed="81"/>
            <rFont val="Arial"/>
            <family val="2"/>
          </rPr>
          <t>1 - 0_x000D_
2 - 0_x000D_
3 - 8,440_x000D_
4 - 0_x000D_
5 - 0_x000D_
6 - 4,410</t>
        </r>
      </text>
    </comment>
    <comment ref="J79" authorId="0" shapeId="0" xr:uid="{66F1169D-D173-4032-A590-46C4955E3353}">
      <text>
        <r>
          <rPr>
            <sz val="10"/>
            <color indexed="81"/>
            <rFont val="Arial"/>
            <family val="2"/>
          </rPr>
          <t>1 - 0_x000D_
2 - 0_x000D_
3 - 2,034_x000D_
4 - 0_x000D_
5 - 0_x000D_
6 - 0</t>
        </r>
      </text>
    </comment>
    <comment ref="N79" authorId="0" shapeId="0" xr:uid="{6BAA7CE2-E796-4B0A-952F-0AB75DE4733E}">
      <text>
        <r>
          <rPr>
            <sz val="10"/>
            <color indexed="81"/>
            <rFont val="Arial"/>
            <family val="2"/>
          </rPr>
          <t>1 - 0_x000D_
2 - 0_x000D_
3 - 1,896_x000D_
4 - 0_x000D_
5 - 0_x000D_
6 - 0</t>
        </r>
      </text>
    </comment>
  </commentList>
</comments>
</file>

<file path=xl/sharedStrings.xml><?xml version="1.0" encoding="utf-8"?>
<sst xmlns="http://schemas.openxmlformats.org/spreadsheetml/2006/main" count="5462" uniqueCount="782">
  <si>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</si>
  <si>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</si>
  <si>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</si>
  <si>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</si>
  <si>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</si>
  <si>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</si>
  <si>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</si>
  <si>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</si>
  <si>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</si>
  <si>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</si>
  <si>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</si>
  <si>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</si>
  <si>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</si>
  <si>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</si>
  <si>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</si>
  <si>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</si>
  <si>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</si>
  <si>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</si>
  <si>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</si>
  <si>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</si>
  <si>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</si>
  <si>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</si>
  <si>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</si>
  <si>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</si>
  <si>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</si>
  <si>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</si>
  <si>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</si>
  <si>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</si>
  <si>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</si>
  <si>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</si>
  <si>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</si>
  <si>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</si>
  <si>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</si>
  <si>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</si>
  <si>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</si>
  <si>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</si>
  <si>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</si>
  <si>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</si>
  <si>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</si>
  <si>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</si>
  <si>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</si>
  <si>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</si>
  <si>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</si>
  <si>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</si>
  <si>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</si>
  <si>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</si>
  <si>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</si>
  <si>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</si>
  <si>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</si>
  <si>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</si>
  <si>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</si>
  <si>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</si>
  <si>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</si>
  <si>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</si>
  <si>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</si>
  <si>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</si>
  <si>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</si>
  <si>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</si>
  <si>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</si>
  <si>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</si>
  <si>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</si>
  <si>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</si>
  <si>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</si>
  <si>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</si>
  <si>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</si>
  <si>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</si>
  <si>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</si>
  <si>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</si>
  <si>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</si>
  <si>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</si>
  <si>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</si>
  <si>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</si>
  <si>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</si>
  <si>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</si>
  <si>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</si>
  <si>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</si>
  <si>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</si>
  <si>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</si>
  <si>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</si>
  <si>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</si>
  <si>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</si>
  <si>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</si>
  <si>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</si>
  <si>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</si>
  <si>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</si>
  <si>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</si>
  <si>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</si>
  <si>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</si>
  <si>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</si>
  <si>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</si>
  <si>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</si>
  <si>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</si>
  <si>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</si>
  <si>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</si>
  <si>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</si>
  <si>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</si>
  <si>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</si>
  <si>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</si>
  <si>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</si>
  <si>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</si>
  <si>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</si>
  <si>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</si>
  <si>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</si>
  <si>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</si>
  <si>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</si>
  <si>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</si>
  <si>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</si>
  <si>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</si>
  <si>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</si>
  <si>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</si>
  <si>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</si>
  <si>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</si>
  <si>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</si>
  <si>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</si>
  <si>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</si>
  <si>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</si>
  <si>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</si>
  <si>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</si>
  <si>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</si>
  <si>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</si>
  <si>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</si>
  <si>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</si>
  <si>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</si>
  <si>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</si>
  <si>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</si>
  <si>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</si>
  <si>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</si>
  <si>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</si>
  <si>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</si>
  <si>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</si>
  <si>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</si>
  <si>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</si>
  <si>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</si>
  <si>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</si>
  <si>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</si>
  <si>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</si>
  <si>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</si>
  <si>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</si>
  <si>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</si>
  <si>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</si>
  <si>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</si>
  <si>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</si>
  <si>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</si>
  <si>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</si>
  <si>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</si>
  <si>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</si>
  <si>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</si>
  <si>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</si>
  <si>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</si>
  <si>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</si>
  <si>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</si>
  <si>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</si>
  <si>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</si>
  <si>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</si>
  <si>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</si>
  <si>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</si>
  <si>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</si>
  <si>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</si>
  <si>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</si>
  <si>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</si>
  <si>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</si>
  <si>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</si>
  <si>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</si>
  <si>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</si>
  <si>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</si>
  <si>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</si>
  <si>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</si>
  <si>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</si>
  <si>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</si>
  <si>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</si>
  <si>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</si>
  <si>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</si>
  <si>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</si>
  <si>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</si>
  <si>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</si>
  <si>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</si>
  <si>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</si>
  <si>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</si>
  <si>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</si>
  <si>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</si>
  <si>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</si>
  <si>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</si>
  <si>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</si>
  <si>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</si>
  <si>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</si>
  <si>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</si>
  <si>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</si>
  <si>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</si>
  <si>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</si>
  <si>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</si>
  <si>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</si>
  <si>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</si>
  <si>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</si>
  <si>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</si>
  <si>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</si>
  <si>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</si>
  <si>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</si>
  <si>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</si>
  <si>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</si>
  <si>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</si>
  <si>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</si>
  <si>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</si>
  <si>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</si>
  <si>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</si>
  <si>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</si>
  <si>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</si>
  <si>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</si>
  <si>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</si>
  <si>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</si>
  <si>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</si>
  <si>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</si>
  <si>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</si>
  <si>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</si>
  <si>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</si>
  <si>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</si>
  <si>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</si>
  <si>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</si>
  <si>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</si>
  <si>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</si>
  <si>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</si>
  <si>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</si>
  <si>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</si>
  <si>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</si>
  <si>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</si>
  <si>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</si>
  <si>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</si>
  <si>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</si>
  <si>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</si>
  <si>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</si>
  <si>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</si>
  <si>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</si>
  <si>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</si>
  <si>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</si>
  <si>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</si>
  <si>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</si>
  <si>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</si>
  <si>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</si>
  <si>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</si>
  <si>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</si>
  <si>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</si>
  <si>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</si>
  <si>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</si>
  <si>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</si>
  <si>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</si>
  <si>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</si>
  <si>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</si>
  <si>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</si>
  <si>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</si>
  <si>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</si>
  <si>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</si>
  <si>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</si>
  <si>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</si>
  <si>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</si>
  <si>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</si>
  <si>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</si>
  <si>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</si>
  <si>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</si>
  <si>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</si>
  <si>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</si>
  <si>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</si>
  <si>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</si>
  <si>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</si>
  <si>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</si>
  <si>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</si>
  <si>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</si>
  <si>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</si>
  <si>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</si>
  <si>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</si>
  <si>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</si>
  <si>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</si>
  <si>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</si>
  <si>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</si>
  <si>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</si>
  <si>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</si>
  <si>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</si>
  <si>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</si>
  <si>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</si>
  <si>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</si>
  <si>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</si>
  <si>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</si>
  <si>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</si>
  <si>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</si>
  <si>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</si>
  <si>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</si>
  <si>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</si>
  <si>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</si>
  <si>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</si>
  <si>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</si>
  <si>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</si>
  <si>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</si>
  <si>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</si>
  <si>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</si>
  <si>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</si>
  <si>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</si>
  <si>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</si>
  <si>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</si>
  <si>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</si>
  <si>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</si>
  <si>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</si>
  <si>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</si>
  <si>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</si>
  <si>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</si>
  <si>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</si>
  <si>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</si>
  <si>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</si>
  <si>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</si>
  <si>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</si>
  <si>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</si>
  <si>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</si>
  <si>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</si>
  <si>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</si>
  <si>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</si>
  <si>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</si>
  <si>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</si>
  <si>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</si>
  <si>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</si>
  <si>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</si>
  <si>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</si>
  <si>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</si>
  <si>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</si>
  <si>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</si>
  <si>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</si>
  <si>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</si>
  <si>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</si>
  <si>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</si>
  <si>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</si>
  <si>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</si>
  <si>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</si>
  <si>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</si>
  <si>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</si>
  <si>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</si>
  <si>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</si>
  <si>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</si>
  <si>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</si>
  <si>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</si>
  <si>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</si>
  <si>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</si>
  <si>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</si>
  <si>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</si>
  <si>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</si>
  <si>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</si>
  <si>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</si>
  <si>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</si>
  <si>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</si>
  <si>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</si>
  <si>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</si>
  <si>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</si>
  <si>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</si>
  <si>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</si>
  <si>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</si>
  <si>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</si>
  <si>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</si>
  <si>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</si>
  <si>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</si>
  <si>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</si>
  <si>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</si>
  <si>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</si>
  <si>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</si>
  <si>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</si>
  <si>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</si>
  <si>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</si>
  <si>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</si>
  <si>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</si>
  <si>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</si>
  <si>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</si>
  <si>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</si>
  <si>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</si>
  <si>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</si>
  <si>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</si>
  <si>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</si>
  <si>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</si>
  <si>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</si>
  <si>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</si>
  <si>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</si>
  <si>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</si>
  <si>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</si>
  <si>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</si>
  <si>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</si>
  <si>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</si>
  <si>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</si>
  <si>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</si>
  <si>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</si>
  <si>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</si>
  <si>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</si>
  <si>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</si>
  <si>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</si>
  <si>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</si>
  <si>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</si>
  <si>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</si>
  <si>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</si>
  <si>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</si>
  <si>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</si>
  <si>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</si>
  <si>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</si>
  <si>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</si>
  <si>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</si>
  <si>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</si>
  <si>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</si>
  <si>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</si>
  <si>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</si>
  <si>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</si>
  <si>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</si>
  <si>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</si>
  <si>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</si>
  <si>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</si>
  <si>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</si>
  <si>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</si>
  <si>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</si>
  <si>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</si>
  <si>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</si>
  <si>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</si>
  <si>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</si>
  <si>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</si>
  <si>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</si>
  <si>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</si>
  <si>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</si>
  <si>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</si>
  <si>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</si>
  <si>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</si>
  <si>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</si>
  <si>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</si>
  <si>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</si>
  <si>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</si>
  <si>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</si>
  <si>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</si>
  <si>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</si>
  <si>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</si>
  <si>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</si>
  <si>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</si>
  <si>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</si>
  <si>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</si>
  <si>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</si>
  <si>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</si>
  <si>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</si>
  <si>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</si>
  <si>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</si>
  <si>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</si>
  <si>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</si>
  <si>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</si>
  <si>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</si>
  <si>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</si>
  <si>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</si>
  <si>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</si>
  <si>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</si>
  <si>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</si>
  <si>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</si>
  <si>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</si>
  <si>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</si>
  <si>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</si>
  <si>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</si>
  <si>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</si>
  <si>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</si>
  <si>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</si>
  <si>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</si>
  <si>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</si>
  <si>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</si>
  <si>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</si>
  <si>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</si>
  <si>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</si>
  <si>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</si>
  <si>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</si>
  <si>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</si>
  <si>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</si>
  <si>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</si>
  <si>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</si>
  <si>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</si>
  <si>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</si>
  <si>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</si>
  <si>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</si>
  <si>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</si>
  <si>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</si>
  <si>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</si>
  <si>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</si>
  <si>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</si>
  <si>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</si>
  <si>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</si>
  <si>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</si>
  <si>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</si>
  <si>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</si>
  <si>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</si>
  <si>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</si>
  <si>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</si>
  <si>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</si>
  <si>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</si>
  <si>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</si>
  <si>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</si>
  <si>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</si>
  <si>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</si>
  <si>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</si>
  <si>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</si>
  <si>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</si>
  <si>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</si>
  <si>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</si>
  <si>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</si>
  <si>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</si>
  <si>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</si>
  <si>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</si>
  <si>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</si>
  <si>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</si>
  <si>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</si>
  <si>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</si>
  <si>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</si>
  <si>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</si>
  <si>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</si>
  <si>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</si>
  <si>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</si>
  <si>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</si>
  <si>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</si>
  <si>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</si>
  <si>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</si>
  <si>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</si>
  <si>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</si>
  <si>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</si>
  <si>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</si>
  <si>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</si>
  <si>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</si>
  <si>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</si>
  <si>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</si>
  <si>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</si>
  <si>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</si>
  <si>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</si>
  <si>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</si>
  <si>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</si>
  <si>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</si>
  <si>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</si>
  <si>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</si>
  <si>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</si>
  <si>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</si>
  <si>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</si>
  <si>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</si>
  <si>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</si>
  <si>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</si>
  <si>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</si>
  <si>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</si>
  <si>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</si>
  <si>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</si>
  <si>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</si>
  <si>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</si>
  <si>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</si>
  <si>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</si>
  <si>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</si>
  <si>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</si>
  <si>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</si>
  <si>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</si>
  <si>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</si>
  <si>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</si>
  <si>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</si>
  <si>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</si>
  <si>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</si>
  <si>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</si>
  <si>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</si>
  <si>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</si>
  <si>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</si>
  <si>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</si>
  <si>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</si>
  <si>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</si>
  <si>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</si>
  <si>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</si>
  <si>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</si>
  <si>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</si>
  <si>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</si>
  <si>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</si>
  <si>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</si>
  <si>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</si>
  <si>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</si>
  <si>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</si>
  <si>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</si>
  <si>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</si>
  <si>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</si>
  <si>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</si>
  <si>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</si>
  <si>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</si>
  <si>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</si>
  <si>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</si>
  <si>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</si>
  <si>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</si>
  <si>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</si>
  <si>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</si>
  <si>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</si>
  <si>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</si>
  <si>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</si>
  <si>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</si>
  <si>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</si>
  <si>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</si>
  <si>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</si>
  <si>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</si>
  <si>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</si>
  <si>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</si>
  <si>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</si>
  <si>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</si>
  <si>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</si>
  <si>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</si>
  <si>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</si>
  <si>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</si>
  <si>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</si>
  <si>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</si>
  <si>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</si>
  <si>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</si>
  <si>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</si>
  <si>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</si>
  <si>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</si>
  <si>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</si>
  <si>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</si>
  <si>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</si>
  <si>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</si>
  <si>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</si>
  <si>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</si>
  <si>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</si>
  <si>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</si>
  <si>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</si>
  <si>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</si>
  <si>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</si>
  <si>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</si>
  <si>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</si>
  <si>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</si>
  <si>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</si>
  <si>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</si>
  <si>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</si>
  <si>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</si>
  <si>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</si>
  <si>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</si>
  <si>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</si>
  <si>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</si>
  <si>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</si>
  <si>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</si>
  <si>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</si>
  <si>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</si>
  <si>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</si>
  <si>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</si>
  <si>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</si>
  <si>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</si>
  <si>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</si>
  <si>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</si>
  <si>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</si>
  <si>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</si>
  <si>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</si>
  <si>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Steve  Poindexter</t>
  </si>
  <si>
    <t>Company 12 Grand Totals</t>
  </si>
  <si>
    <t>Company 12 Open Job Totals</t>
  </si>
  <si>
    <t>Company 12 Closed Job Totals</t>
  </si>
  <si>
    <t>Division 21</t>
  </si>
  <si>
    <t>21.2106.</t>
  </si>
  <si>
    <t xml:space="preserve">    Ashlan Ave. Corridor</t>
  </si>
  <si>
    <t>Alan Johnson</t>
  </si>
  <si>
    <t>21.2304.</t>
  </si>
  <si>
    <t xml:space="preserve">    Community Park 42</t>
  </si>
  <si>
    <t>Christopher Williams</t>
  </si>
  <si>
    <t>21.2310.</t>
  </si>
  <si>
    <t xml:space="preserve">    Tule River Parkway Phase III, Re-bid</t>
  </si>
  <si>
    <t>Scott Mendonca</t>
  </si>
  <si>
    <t>21.2312.</t>
  </si>
  <si>
    <t xml:space="preserve">    Mariposa Plaza Renovation</t>
  </si>
  <si>
    <t>Jeff Nelson</t>
  </si>
  <si>
    <t>21.2314.</t>
  </si>
  <si>
    <t xml:space="preserve">    Clovis VA Parking Expansion</t>
  </si>
  <si>
    <t>21.2323.</t>
  </si>
  <si>
    <t xml:space="preserve">    Water Treatment Plant Replacement</t>
  </si>
  <si>
    <t>21.2407.</t>
  </si>
  <si>
    <t xml:space="preserve">    South Peach Park Project</t>
  </si>
  <si>
    <t>21.2408.</t>
  </si>
  <si>
    <t xml:space="preserve">    Friant I.T.S. Phase 2, A-C Electric</t>
  </si>
  <si>
    <t>21.2410.</t>
  </si>
  <si>
    <t xml:space="preserve">    Barstow and Bond Traffic Signal</t>
  </si>
  <si>
    <t>21.2411.</t>
  </si>
  <si>
    <t xml:space="preserve">    Bob Hart Square Expansion</t>
  </si>
  <si>
    <t>21.2412.</t>
  </si>
  <si>
    <t xml:space="preserve">    Main Street Directional (REBID)</t>
  </si>
  <si>
    <t>21.2503.</t>
  </si>
  <si>
    <t xml:space="preserve">    Dolores Huerta Park</t>
  </si>
  <si>
    <t>21.2504.</t>
  </si>
  <si>
    <t xml:space="preserve">    Clovis Avenue Adaptive Traffic Signal Sychronization Project</t>
  </si>
  <si>
    <t>21.2505.</t>
  </si>
  <si>
    <t xml:space="preserve">    Reed Avenue and Reedley College Driveway Traffic Signal</t>
  </si>
  <si>
    <t>21.2507.</t>
  </si>
  <si>
    <t xml:space="preserve">    Radio Park Renovation Rebid</t>
  </si>
  <si>
    <t>21.2509.</t>
  </si>
  <si>
    <t xml:space="preserve">    Bethel Avenue and Almond Avenue Traffic Signal Improvements</t>
  </si>
  <si>
    <t xml:space="preserve">  Division 21 Open Job Totals</t>
  </si>
  <si>
    <t>20.2402.</t>
  </si>
  <si>
    <t xml:space="preserve">    Intercompany Charges to WML 2024 FY</t>
  </si>
  <si>
    <t>20.2404.</t>
  </si>
  <si>
    <t xml:space="preserve">    Intercompany Charges to LUC 2024 FY</t>
  </si>
  <si>
    <t>20.2405.</t>
  </si>
  <si>
    <t xml:space="preserve">    Intercompany Charges to LSC 2024 FY</t>
  </si>
  <si>
    <t>20.2420.</t>
  </si>
  <si>
    <t xml:space="preserve">    Office Admin Overhead 2024 Fiscal Year</t>
  </si>
  <si>
    <t>20.2430.</t>
  </si>
  <si>
    <t xml:space="preserve">    APC Yard/Building 2024 Fiscal Year</t>
  </si>
  <si>
    <t>20.2440.</t>
  </si>
  <si>
    <t xml:space="preserve">    Warranty Work 2024 Fiscal Year</t>
  </si>
  <si>
    <t>20.2460.</t>
  </si>
  <si>
    <t xml:space="preserve">    Estimating 2024 Fiscal Year</t>
  </si>
  <si>
    <t>20.2470.</t>
  </si>
  <si>
    <t xml:space="preserve">    Equipment 2024 Fiscal Year</t>
  </si>
  <si>
    <t>20.2520.</t>
  </si>
  <si>
    <t xml:space="preserve">    Office Admin Overhead 2025 Fiscal Year</t>
  </si>
  <si>
    <t>20.2530.</t>
  </si>
  <si>
    <t xml:space="preserve">    APC Yard/Building 2025 Fiscal Year</t>
  </si>
  <si>
    <t>20.2540.</t>
  </si>
  <si>
    <t xml:space="preserve">    Warranty Work 2025 Fiscal Year</t>
  </si>
  <si>
    <t>20.2550.</t>
  </si>
  <si>
    <t xml:space="preserve">    Legal 2025 Fiscal Year</t>
  </si>
  <si>
    <t>20.2560.</t>
  </si>
  <si>
    <t xml:space="preserve">    Estimating 2025 Fiscal Year</t>
  </si>
  <si>
    <t>20.2570.</t>
  </si>
  <si>
    <t xml:space="preserve">    Equipment 2025 Fiscal Year</t>
  </si>
  <si>
    <t>21.2102.</t>
  </si>
  <si>
    <t xml:space="preserve">    Darrah Road Bridge</t>
  </si>
  <si>
    <t>21.2107.</t>
  </si>
  <si>
    <t xml:space="preserve">    Clinton and Angus Improvements</t>
  </si>
  <si>
    <t>21.2202.</t>
  </si>
  <si>
    <t xml:space="preserve">    Traffic Signal L Turn Phasing Improvements Hughes &amp; Shields</t>
  </si>
  <si>
    <t>21.2205.</t>
  </si>
  <si>
    <t xml:space="preserve">    Audubon &amp;  Nees Ave. Signal Modification &amp; Audubon Dr. Recon</t>
  </si>
  <si>
    <t>21.2207.</t>
  </si>
  <si>
    <t xml:space="preserve">    Athletic Field Impr.@ Alpaugh HS &amp; New Metal Shade@ Elem.</t>
  </si>
  <si>
    <t>21.2215.</t>
  </si>
  <si>
    <t xml:space="preserve">    Dinuba High School Phase 2 Offsite Concrete</t>
  </si>
  <si>
    <t>21.2219.</t>
  </si>
  <si>
    <t xml:space="preserve">    Jensen Avenue ITS</t>
  </si>
  <si>
    <t>21.2220.</t>
  </si>
  <si>
    <t xml:space="preserve">    Midtown Fresno School Area Multimodal Interconnectivity Proj</t>
  </si>
  <si>
    <t>21.2221.</t>
  </si>
  <si>
    <t xml:space="preserve">    Richgrove Water Supply Well &amp; Storage Tank</t>
  </si>
  <si>
    <t>21.2302.</t>
  </si>
  <si>
    <t xml:space="preserve">    Fink-White Splash Play Area</t>
  </si>
  <si>
    <t>21.2306.</t>
  </si>
  <si>
    <t xml:space="preserve">    Barstow Ave Class IV Bikeway Project</t>
  </si>
  <si>
    <t>21.2307.</t>
  </si>
  <si>
    <t xml:space="preserve">    Ave 25 Bridge Replacement Project at Ash Slough</t>
  </si>
  <si>
    <t>21.2313.</t>
  </si>
  <si>
    <t xml:space="preserve">    Kerman Northwest Park</t>
  </si>
  <si>
    <t>21.2315.</t>
  </si>
  <si>
    <t xml:space="preserve">    Fig Tree Park</t>
  </si>
  <si>
    <t>21.2316.</t>
  </si>
  <si>
    <t xml:space="preserve">    Groundwater Blending and Arsenic Treatment Project, RCWD</t>
  </si>
  <si>
    <t>21.2317.</t>
  </si>
  <si>
    <t xml:space="preserve">    Connecting the Winchell Neighborhood:Butler-8th&amp;Orange-Lowe</t>
  </si>
  <si>
    <t>21.2318.</t>
  </si>
  <si>
    <t xml:space="preserve">    Audubon and Del Mar Avenues Traffic Signal Installation</t>
  </si>
  <si>
    <t>21.2322.</t>
  </si>
  <si>
    <t xml:space="preserve">    Kaiser Fresno Modular MOB-Offsite Work</t>
  </si>
  <si>
    <t>21.2401.</t>
  </si>
  <si>
    <t xml:space="preserve">    M109 over White River Bridge Replacement Project</t>
  </si>
  <si>
    <t>21.2402.</t>
  </si>
  <si>
    <t xml:space="preserve">    Visalia Station 98 Water Storage Tank and Booster Site</t>
  </si>
  <si>
    <t>21.2403.</t>
  </si>
  <si>
    <t xml:space="preserve">    Woodward &amp; Roeding Tot Lots &amp; ADA Accessibility Improvements</t>
  </si>
  <si>
    <t>21.2404.</t>
  </si>
  <si>
    <t xml:space="preserve">    Harris Road Bridge Emergency Reparis, County of Mariposa</t>
  </si>
  <si>
    <t>21.2405.</t>
  </si>
  <si>
    <t xml:space="preserve">    Salinas 77 (SNL 77) Booster Station</t>
  </si>
  <si>
    <t>21.2406.</t>
  </si>
  <si>
    <t xml:space="preserve">    BPMP Phase II</t>
  </si>
  <si>
    <t>21.2409.</t>
  </si>
  <si>
    <t xml:space="preserve">    G Street Bridge Railing Repair</t>
  </si>
  <si>
    <t>21.2413.</t>
  </si>
  <si>
    <t xml:space="preserve">    Amazon ADA improvements</t>
  </si>
  <si>
    <t>21.2492.</t>
  </si>
  <si>
    <t xml:space="preserve">    WML Intercompany L&amp;E</t>
  </si>
  <si>
    <t>21.2493.</t>
  </si>
  <si>
    <t xml:space="preserve">    NESM Intercompany L&amp;E</t>
  </si>
  <si>
    <t>21.2494.</t>
  </si>
  <si>
    <t xml:space="preserve">    LUC Intercompany L&amp;E</t>
  </si>
  <si>
    <t>21.2495.</t>
  </si>
  <si>
    <t xml:space="preserve">    LSC Intercompany L&amp;E</t>
  </si>
  <si>
    <t>21.2501.</t>
  </si>
  <si>
    <t xml:space="preserve">    Lake and Sherwood Traffic Signal</t>
  </si>
  <si>
    <t>21.2502.</t>
  </si>
  <si>
    <t xml:space="preserve">    Well 7 TCP Mitigation Project</t>
  </si>
  <si>
    <t>21.2506.</t>
  </si>
  <si>
    <t xml:space="preserve">    Kaiser Permanente Cypress Charging Station, Sub to Showtime</t>
  </si>
  <si>
    <t>21.2508.</t>
  </si>
  <si>
    <t xml:space="preserve">    Kaiser Selma Driveway Approaches, Showtime Concrete</t>
  </si>
  <si>
    <t>21.2510.</t>
  </si>
  <si>
    <t xml:space="preserve">    Craig Dr. Sewer</t>
  </si>
  <si>
    <t>21.2591.</t>
  </si>
  <si>
    <t xml:space="preserve">    LDI Intercompany L&amp;E</t>
  </si>
  <si>
    <t>21.2592.</t>
  </si>
  <si>
    <t>21.2593.</t>
  </si>
  <si>
    <t xml:space="preserve">  Division 21 Closed Job Totals</t>
  </si>
  <si>
    <t>Division 21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</si>
</sst>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12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21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RbxrJvu1JmLz7dhxPUviP+VyncIi30Yc5GnCAqFVkJLzczeCB9ru/lLIZcAHJ4X8xIeLwVeGkCYarSWC/okYxA==" saltValue="BNk0MpDRr3WMywe7RHkv2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640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641</v>
      </c>
      <c r="B9" s="232" t="s">
        <v>642</v>
      </c>
      <c r="C9" s="232" t="s">
        <v>643</v>
      </c>
      <c r="D9" s="233"/>
      <c r="E9" s="234">
        <v>210502.61</v>
      </c>
      <c r="F9" s="235">
        <v>311388.68</v>
      </c>
      <c r="G9" s="236"/>
      <c r="H9" s="237"/>
      <c r="I9" s="238">
        <v>138609</v>
      </c>
      <c r="J9" s="249"/>
      <c r="K9" s="240"/>
      <c r="L9" s="8">
        <v>167006.9</v>
      </c>
      <c r="M9" s="241">
        <v>137609</v>
      </c>
      <c r="N9" s="72"/>
      <c r="O9" s="100"/>
      <c r="P9" s="9"/>
      <c r="Q9" s="9">
        <v>1000</v>
      </c>
      <c r="R9" s="9"/>
      <c r="S9" s="152">
        <v>46081</v>
      </c>
      <c r="T9" s="10"/>
      <c r="U9" s="23"/>
      <c r="V9" s="11"/>
      <c r="W9" s="11"/>
      <c r="X9" s="8">
        <v>118421.14</v>
      </c>
      <c r="Y9" s="9"/>
      <c r="Z9" s="70">
        <v>860.6</v>
      </c>
      <c r="AA9" s="72"/>
      <c r="AB9" s="108"/>
      <c r="AC9" s="9">
        <v>639.6</v>
      </c>
      <c r="AD9" s="9"/>
      <c r="AE9" s="10"/>
      <c r="AF9" s="24">
        <v>0</v>
      </c>
      <c r="AG9" s="11">
        <v>24333.510000000002</v>
      </c>
      <c r="AH9" s="8">
        <v>34333.51</v>
      </c>
      <c r="AI9" s="9">
        <v>-10000</v>
      </c>
      <c r="AJ9" s="9">
        <v>-10000</v>
      </c>
      <c r="AK9" s="10"/>
      <c r="AL9" s="11"/>
      <c r="AM9" s="8">
        <v>84087.63</v>
      </c>
      <c r="AN9" s="9"/>
      <c r="AO9" s="9"/>
      <c r="AP9" s="10"/>
      <c r="AQ9" s="25"/>
      <c r="AR9" s="25"/>
      <c r="AS9" s="25"/>
      <c r="AT9" s="10"/>
      <c r="AU9" s="12">
        <v>111523.64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138609</v>
      </c>
      <c r="BF9" s="15">
        <v>137609</v>
      </c>
      <c r="BG9" s="15">
        <v>860.6</v>
      </c>
      <c r="BH9" s="15">
        <v>120553.54</v>
      </c>
      <c r="BI9" s="15">
        <v>119553.54</v>
      </c>
      <c r="BJ9" s="242">
        <v>0</v>
      </c>
      <c r="BK9" s="242">
        <v>639.6</v>
      </c>
      <c r="BL9" s="242"/>
      <c r="BM9" s="242">
        <v>1</v>
      </c>
      <c r="BN9" s="242">
        <v>1000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4">
        <v>860.6</v>
      </c>
      <c r="CC9" s="246" t="s">
        <v>634</v>
      </c>
      <c r="CD9" s="242">
        <v>0</v>
      </c>
      <c r="CE9" s="248">
        <v>34333.51</v>
      </c>
      <c r="CF9" s="248">
        <v>0</v>
      </c>
      <c r="CG9" s="248">
        <v>34333.51</v>
      </c>
      <c r="CH9" s="248">
        <v>0</v>
      </c>
      <c r="CI9" s="247" t="s">
        <v>633</v>
      </c>
      <c r="CJ9" s="248">
        <v>118421.14</v>
      </c>
      <c r="CK9" s="248">
        <v>84087.63</v>
      </c>
      <c r="CL9" s="248">
        <v>111523.64</v>
      </c>
      <c r="CM9" s="248">
        <v>0</v>
      </c>
    </row>
    <row r="10" spans="1:102" x14ac:dyDescent="0.25">
      <c r="A10" s="231" t="s">
        <v>644</v>
      </c>
      <c r="B10" s="232" t="s">
        <v>645</v>
      </c>
      <c r="C10" s="232" t="s">
        <v>646</v>
      </c>
      <c r="D10" s="233"/>
      <c r="E10" s="234">
        <v>10327326.220000001</v>
      </c>
      <c r="F10" s="235">
        <v>10327326.220000001</v>
      </c>
      <c r="G10" s="236"/>
      <c r="H10" s="237"/>
      <c r="I10" s="238">
        <v>10996795.85</v>
      </c>
      <c r="J10" s="249"/>
      <c r="K10" s="240"/>
      <c r="L10" s="8">
        <v>9977785.5899999999</v>
      </c>
      <c r="M10" s="241">
        <v>9976795.8499999996</v>
      </c>
      <c r="N10" s="72"/>
      <c r="O10" s="100"/>
      <c r="P10" s="9"/>
      <c r="Q10" s="9">
        <v>1000000</v>
      </c>
      <c r="R10" s="9"/>
      <c r="S10" s="152">
        <v>46203</v>
      </c>
      <c r="T10" s="10"/>
      <c r="U10" s="23"/>
      <c r="V10" s="11"/>
      <c r="W10" s="11"/>
      <c r="X10" s="8">
        <v>9342202.3800000008</v>
      </c>
      <c r="Y10" s="9"/>
      <c r="Z10" s="70">
        <v>955128</v>
      </c>
      <c r="AA10" s="72"/>
      <c r="AB10" s="108"/>
      <c r="AC10" s="9">
        <v>921000</v>
      </c>
      <c r="AD10" s="9"/>
      <c r="AE10" s="10"/>
      <c r="AF10" s="24">
        <v>0</v>
      </c>
      <c r="AG10" s="11">
        <v>7632539.4299999997</v>
      </c>
      <c r="AH10" s="8">
        <v>6967349.4299999997</v>
      </c>
      <c r="AI10" s="9">
        <v>665190</v>
      </c>
      <c r="AJ10" s="9">
        <v>665190</v>
      </c>
      <c r="AK10" s="10"/>
      <c r="AL10" s="11"/>
      <c r="AM10" s="8">
        <v>2374852.9500000002</v>
      </c>
      <c r="AN10" s="9"/>
      <c r="AO10" s="9"/>
      <c r="AP10" s="10"/>
      <c r="AQ10" s="25"/>
      <c r="AR10" s="25"/>
      <c r="AS10" s="25"/>
      <c r="AT10" s="10"/>
      <c r="AU10" s="12">
        <v>9685840.0800000001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10996795.85</v>
      </c>
      <c r="BF10" s="15">
        <v>9976795.8499999996</v>
      </c>
      <c r="BG10" s="15">
        <v>955128</v>
      </c>
      <c r="BH10" s="15">
        <v>10996795.85</v>
      </c>
      <c r="BI10" s="15">
        <v>9976795.8499999996</v>
      </c>
      <c r="BJ10" s="242">
        <v>0</v>
      </c>
      <c r="BK10" s="242">
        <v>921000</v>
      </c>
      <c r="BL10" s="242"/>
      <c r="BM10" s="242">
        <v>1</v>
      </c>
      <c r="BN10" s="242">
        <v>1000000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94">
        <v>955128</v>
      </c>
      <c r="CC10" s="246" t="s">
        <v>634</v>
      </c>
      <c r="CD10" s="242">
        <v>0</v>
      </c>
      <c r="CE10" s="248">
        <v>6967349.4299999997</v>
      </c>
      <c r="CF10" s="248">
        <v>0</v>
      </c>
      <c r="CG10" s="248">
        <v>6967349.4299999997</v>
      </c>
      <c r="CH10" s="248">
        <v>0</v>
      </c>
      <c r="CI10" s="247" t="s">
        <v>633</v>
      </c>
      <c r="CJ10" s="248">
        <v>9342202.3800000008</v>
      </c>
      <c r="CK10" s="248">
        <v>2374852.9500000002</v>
      </c>
      <c r="CL10" s="248">
        <v>9685840.0800000001</v>
      </c>
      <c r="CM10" s="248">
        <v>0</v>
      </c>
    </row>
    <row r="11" spans="1:102" x14ac:dyDescent="0.25">
      <c r="A11" s="231" t="s">
        <v>647</v>
      </c>
      <c r="B11" s="232" t="s">
        <v>648</v>
      </c>
      <c r="C11" s="232" t="s">
        <v>649</v>
      </c>
      <c r="D11" s="233"/>
      <c r="E11" s="234">
        <v>3523441.7</v>
      </c>
      <c r="F11" s="235">
        <v>3534211.62</v>
      </c>
      <c r="G11" s="236"/>
      <c r="H11" s="237"/>
      <c r="I11" s="238">
        <v>3543296.49</v>
      </c>
      <c r="J11" s="249"/>
      <c r="K11" s="240"/>
      <c r="L11" s="8">
        <v>3190348.97</v>
      </c>
      <c r="M11" s="241">
        <v>3133296.49</v>
      </c>
      <c r="N11" s="72"/>
      <c r="O11" s="100"/>
      <c r="P11" s="9"/>
      <c r="Q11" s="9">
        <v>350000</v>
      </c>
      <c r="R11" s="9"/>
      <c r="S11" s="152">
        <v>46053</v>
      </c>
      <c r="T11" s="10"/>
      <c r="U11" s="23"/>
      <c r="V11" s="11"/>
      <c r="W11" s="11"/>
      <c r="X11" s="8">
        <v>3088616.39</v>
      </c>
      <c r="Y11" s="9"/>
      <c r="Z11" s="70">
        <v>404137</v>
      </c>
      <c r="AA11" s="72"/>
      <c r="AB11" s="108"/>
      <c r="AC11" s="9">
        <v>334075</v>
      </c>
      <c r="AD11" s="9"/>
      <c r="AE11" s="10"/>
      <c r="AF11" s="24">
        <v>0</v>
      </c>
      <c r="AG11" s="11">
        <v>1442895.44</v>
      </c>
      <c r="AH11" s="8">
        <v>1351653.44</v>
      </c>
      <c r="AI11" s="9">
        <v>91242</v>
      </c>
      <c r="AJ11" s="9">
        <v>91242</v>
      </c>
      <c r="AK11" s="10"/>
      <c r="AL11" s="11"/>
      <c r="AM11" s="8">
        <v>1736962.95</v>
      </c>
      <c r="AN11" s="9"/>
      <c r="AO11" s="9"/>
      <c r="AP11" s="10"/>
      <c r="AQ11" s="25"/>
      <c r="AR11" s="25"/>
      <c r="AS11" s="25"/>
      <c r="AT11" s="10"/>
      <c r="AU11" s="12">
        <v>3543296.49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3543296.49</v>
      </c>
      <c r="BF11" s="15">
        <v>3133296.49</v>
      </c>
      <c r="BG11" s="15">
        <v>404137</v>
      </c>
      <c r="BH11" s="15">
        <v>3543296.49</v>
      </c>
      <c r="BI11" s="15">
        <v>3133296.49</v>
      </c>
      <c r="BJ11" s="242">
        <v>0</v>
      </c>
      <c r="BK11" s="250">
        <v>334075</v>
      </c>
      <c r="BL11" s="242"/>
      <c r="BM11" s="242">
        <v>1</v>
      </c>
      <c r="BN11" s="242">
        <v>350000</v>
      </c>
      <c r="BO11" s="242">
        <v>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4">
        <v>404137</v>
      </c>
      <c r="CC11" s="246" t="s">
        <v>634</v>
      </c>
      <c r="CD11" s="242">
        <v>0</v>
      </c>
      <c r="CE11" s="242">
        <v>1351653.44</v>
      </c>
      <c r="CF11" s="242">
        <v>0</v>
      </c>
      <c r="CG11" s="242">
        <v>1351653.44</v>
      </c>
      <c r="CH11" s="242">
        <v>0</v>
      </c>
      <c r="CI11" s="247" t="s">
        <v>633</v>
      </c>
      <c r="CJ11" s="248">
        <v>3088616.39</v>
      </c>
      <c r="CK11" s="248">
        <v>1736962.95</v>
      </c>
      <c r="CL11" s="248">
        <v>3543296.49</v>
      </c>
      <c r="CM11" s="248">
        <v>0</v>
      </c>
    </row>
    <row r="12" spans="1:102" x14ac:dyDescent="0.25">
      <c r="A12" s="231" t="s">
        <v>650</v>
      </c>
      <c r="B12" s="232" t="s">
        <v>651</v>
      </c>
      <c r="C12" s="232" t="s">
        <v>652</v>
      </c>
      <c r="D12" s="233"/>
      <c r="E12" s="234">
        <v>2832729.95</v>
      </c>
      <c r="F12" s="235">
        <v>2803963.38</v>
      </c>
      <c r="G12" s="236"/>
      <c r="H12" s="237"/>
      <c r="I12" s="238">
        <v>2832729.95</v>
      </c>
      <c r="J12" s="249"/>
      <c r="K12" s="240"/>
      <c r="L12" s="8">
        <v>2662965.41</v>
      </c>
      <c r="M12" s="241">
        <v>2662729.9500000002</v>
      </c>
      <c r="N12" s="71"/>
      <c r="O12" s="100"/>
      <c r="P12" s="9"/>
      <c r="Q12" s="9">
        <v>160000</v>
      </c>
      <c r="R12" s="9"/>
      <c r="S12" s="152">
        <v>46081</v>
      </c>
      <c r="T12" s="10"/>
      <c r="U12" s="23"/>
      <c r="V12" s="11"/>
      <c r="W12" s="11"/>
      <c r="X12" s="8">
        <v>2473568.46</v>
      </c>
      <c r="Y12" s="9"/>
      <c r="Z12" s="70">
        <v>157930</v>
      </c>
      <c r="AA12" s="72"/>
      <c r="AB12" s="108"/>
      <c r="AC12" s="9">
        <v>145216</v>
      </c>
      <c r="AD12" s="9"/>
      <c r="AE12" s="10"/>
      <c r="AF12" s="24">
        <v>0</v>
      </c>
      <c r="AG12" s="11">
        <v>1092881.1299999999</v>
      </c>
      <c r="AH12" s="8">
        <v>1002903.63</v>
      </c>
      <c r="AI12" s="9">
        <v>89977.5</v>
      </c>
      <c r="AJ12" s="9">
        <v>89977.5</v>
      </c>
      <c r="AK12" s="10"/>
      <c r="AL12" s="11"/>
      <c r="AM12" s="8">
        <v>1470664.83</v>
      </c>
      <c r="AN12" s="9"/>
      <c r="AO12" s="9"/>
      <c r="AP12" s="10"/>
      <c r="AQ12" s="25"/>
      <c r="AR12" s="25"/>
      <c r="AS12" s="25"/>
      <c r="AT12" s="10"/>
      <c r="AU12" s="12">
        <v>2628426.58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2832729.95</v>
      </c>
      <c r="BF12" s="15">
        <v>2662729.9500000002</v>
      </c>
      <c r="BG12" s="15">
        <v>157930</v>
      </c>
      <c r="BH12" s="15">
        <v>2832729.95</v>
      </c>
      <c r="BI12" s="15">
        <v>2662729.9500000002</v>
      </c>
      <c r="BJ12" s="242">
        <v>0</v>
      </c>
      <c r="BK12" s="242">
        <v>145216</v>
      </c>
      <c r="BL12" s="242"/>
      <c r="BM12" s="242">
        <v>1</v>
      </c>
      <c r="BN12" s="242">
        <v>160000</v>
      </c>
      <c r="BO12" s="242">
        <v>0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94">
        <v>157930</v>
      </c>
      <c r="CC12" s="246" t="s">
        <v>634</v>
      </c>
      <c r="CD12" s="242">
        <v>0</v>
      </c>
      <c r="CE12" s="242">
        <v>1002903.63</v>
      </c>
      <c r="CF12" s="242">
        <v>0</v>
      </c>
      <c r="CG12" s="242">
        <v>1002903.63</v>
      </c>
      <c r="CH12" s="242">
        <v>0</v>
      </c>
      <c r="CI12" s="247" t="s">
        <v>633</v>
      </c>
      <c r="CJ12" s="248">
        <v>2473568.46</v>
      </c>
      <c r="CK12" s="248">
        <v>1470664.83</v>
      </c>
      <c r="CL12" s="248">
        <v>2628426.58</v>
      </c>
      <c r="CM12" s="248">
        <v>0</v>
      </c>
    </row>
    <row r="13" spans="1:102" x14ac:dyDescent="0.25">
      <c r="A13" s="231" t="s">
        <v>653</v>
      </c>
      <c r="B13" s="232" t="s">
        <v>654</v>
      </c>
      <c r="C13" s="232" t="s">
        <v>636</v>
      </c>
      <c r="D13" s="233"/>
      <c r="E13" s="234">
        <v>1294297</v>
      </c>
      <c r="F13" s="235">
        <v>1483450.08</v>
      </c>
      <c r="G13" s="236"/>
      <c r="H13" s="237"/>
      <c r="I13" s="238">
        <v>1294297</v>
      </c>
      <c r="J13" s="249"/>
      <c r="K13" s="240"/>
      <c r="L13" s="8">
        <v>1141697.17</v>
      </c>
      <c r="M13" s="241">
        <v>1184297</v>
      </c>
      <c r="N13" s="71"/>
      <c r="O13" s="100"/>
      <c r="P13" s="9"/>
      <c r="Q13" s="9">
        <v>110000</v>
      </c>
      <c r="R13" s="9"/>
      <c r="S13" s="152"/>
      <c r="T13" s="10"/>
      <c r="U13" s="23"/>
      <c r="V13" s="11"/>
      <c r="W13" s="11"/>
      <c r="X13" s="8">
        <v>123857.91</v>
      </c>
      <c r="Y13" s="9"/>
      <c r="Z13" s="70">
        <v>0</v>
      </c>
      <c r="AA13" s="71"/>
      <c r="AB13" s="108"/>
      <c r="AC13" s="9">
        <v>0</v>
      </c>
      <c r="AD13" s="9"/>
      <c r="AE13" s="10"/>
      <c r="AF13" s="24">
        <v>0</v>
      </c>
      <c r="AG13" s="11">
        <v>118193.29</v>
      </c>
      <c r="AH13" s="8">
        <v>118193.29</v>
      </c>
      <c r="AI13" s="9">
        <v>0</v>
      </c>
      <c r="AJ13" s="9">
        <v>0</v>
      </c>
      <c r="AK13" s="10"/>
      <c r="AL13" s="11"/>
      <c r="AM13" s="8">
        <v>5664.62</v>
      </c>
      <c r="AN13" s="9"/>
      <c r="AO13" s="9"/>
      <c r="AP13" s="10"/>
      <c r="AQ13" s="25"/>
      <c r="AR13" s="25"/>
      <c r="AS13" s="25"/>
      <c r="AT13" s="10"/>
      <c r="AU13" s="12">
        <v>97807.84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1294297</v>
      </c>
      <c r="BF13" s="15">
        <v>1184297</v>
      </c>
      <c r="BG13" s="242">
        <v>0</v>
      </c>
      <c r="BH13" s="15">
        <v>1294297</v>
      </c>
      <c r="BI13" s="15">
        <v>1184297</v>
      </c>
      <c r="BJ13" s="242">
        <v>0</v>
      </c>
      <c r="BK13" s="242">
        <v>0</v>
      </c>
      <c r="BL13" s="242"/>
      <c r="BM13" s="242">
        <v>1</v>
      </c>
      <c r="BN13" s="242">
        <v>110000</v>
      </c>
      <c r="BO13" s="242">
        <v>0</v>
      </c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 t="s">
        <v>634</v>
      </c>
      <c r="CD13" s="242">
        <v>0</v>
      </c>
      <c r="CE13" s="242">
        <v>118193.29</v>
      </c>
      <c r="CF13" s="242">
        <v>0</v>
      </c>
      <c r="CG13" s="242">
        <v>118193.29</v>
      </c>
      <c r="CH13" s="242">
        <v>0</v>
      </c>
      <c r="CI13" s="247" t="s">
        <v>633</v>
      </c>
      <c r="CJ13" s="248">
        <v>123857.91</v>
      </c>
      <c r="CK13" s="248">
        <v>5664.62</v>
      </c>
      <c r="CL13" s="248">
        <v>97807.84</v>
      </c>
      <c r="CM13" s="248">
        <v>0</v>
      </c>
    </row>
    <row r="14" spans="1:102" x14ac:dyDescent="0.25">
      <c r="A14" s="231" t="s">
        <v>655</v>
      </c>
      <c r="B14" s="232" t="s">
        <v>656</v>
      </c>
      <c r="C14" s="232" t="s">
        <v>652</v>
      </c>
      <c r="D14" s="233"/>
      <c r="E14" s="234">
        <v>1678093.42</v>
      </c>
      <c r="F14" s="235">
        <v>1912857.82</v>
      </c>
      <c r="G14" s="236"/>
      <c r="H14" s="237"/>
      <c r="I14" s="238">
        <v>1912857.82</v>
      </c>
      <c r="J14" s="249"/>
      <c r="K14" s="240"/>
      <c r="L14" s="8">
        <v>1377590.67</v>
      </c>
      <c r="M14" s="241">
        <v>1392857.82</v>
      </c>
      <c r="N14" s="72"/>
      <c r="O14" s="100"/>
      <c r="P14" s="9"/>
      <c r="Q14" s="9">
        <v>425000</v>
      </c>
      <c r="R14" s="9"/>
      <c r="S14" s="152">
        <v>46173</v>
      </c>
      <c r="T14" s="10"/>
      <c r="U14" s="23"/>
      <c r="V14" s="11"/>
      <c r="W14" s="11"/>
      <c r="X14" s="8">
        <v>1356544.45</v>
      </c>
      <c r="Y14" s="9"/>
      <c r="Z14" s="70">
        <v>506428</v>
      </c>
      <c r="AA14" s="72"/>
      <c r="AB14" s="108"/>
      <c r="AC14" s="9">
        <v>358997.5</v>
      </c>
      <c r="AD14" s="9"/>
      <c r="AE14" s="10"/>
      <c r="AF14" s="24">
        <v>0</v>
      </c>
      <c r="AG14" s="11">
        <v>414794.68</v>
      </c>
      <c r="AH14" s="8">
        <v>322450.68</v>
      </c>
      <c r="AI14" s="9">
        <v>92344</v>
      </c>
      <c r="AJ14" s="9">
        <v>92344</v>
      </c>
      <c r="AK14" s="10"/>
      <c r="AL14" s="11"/>
      <c r="AM14" s="8">
        <v>1034093.77</v>
      </c>
      <c r="AN14" s="9"/>
      <c r="AO14" s="9"/>
      <c r="AP14" s="10"/>
      <c r="AQ14" s="25"/>
      <c r="AR14" s="25"/>
      <c r="AS14" s="25"/>
      <c r="AT14" s="10"/>
      <c r="AU14" s="12">
        <v>1832728.29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1912857.82</v>
      </c>
      <c r="BF14" s="15">
        <v>1392857.82</v>
      </c>
      <c r="BG14" s="15">
        <v>506428</v>
      </c>
      <c r="BH14" s="15">
        <v>1912857.82</v>
      </c>
      <c r="BI14" s="15">
        <v>1392857.82</v>
      </c>
      <c r="BJ14" s="242">
        <v>0</v>
      </c>
      <c r="BK14" s="242">
        <v>358997.5</v>
      </c>
      <c r="BL14" s="242"/>
      <c r="BM14" s="242">
        <v>1</v>
      </c>
      <c r="BN14" s="242">
        <v>425000</v>
      </c>
      <c r="BO14" s="242">
        <v>0</v>
      </c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94">
        <v>506428</v>
      </c>
      <c r="CC14" s="246" t="s">
        <v>634</v>
      </c>
      <c r="CD14" s="242">
        <v>0</v>
      </c>
      <c r="CE14" s="242">
        <v>322450.68</v>
      </c>
      <c r="CF14" s="242">
        <v>0</v>
      </c>
      <c r="CG14" s="242">
        <v>322450.68</v>
      </c>
      <c r="CH14" s="242">
        <v>0</v>
      </c>
      <c r="CI14" s="247" t="s">
        <v>633</v>
      </c>
      <c r="CJ14" s="248">
        <v>1356544.45</v>
      </c>
      <c r="CK14" s="248">
        <v>1034093.77</v>
      </c>
      <c r="CL14" s="248">
        <v>1832728.29</v>
      </c>
      <c r="CM14" s="248">
        <v>0</v>
      </c>
    </row>
    <row r="15" spans="1:102" x14ac:dyDescent="0.25">
      <c r="A15" s="231" t="s">
        <v>657</v>
      </c>
      <c r="B15" s="232" t="s">
        <v>658</v>
      </c>
      <c r="C15" s="232" t="s">
        <v>643</v>
      </c>
      <c r="D15" s="233"/>
      <c r="E15" s="234">
        <v>9700445.0500000007</v>
      </c>
      <c r="F15" s="235">
        <v>10338780</v>
      </c>
      <c r="G15" s="236"/>
      <c r="H15" s="237"/>
      <c r="I15" s="238">
        <v>9700445.0500000007</v>
      </c>
      <c r="J15" s="249"/>
      <c r="K15" s="240"/>
      <c r="L15" s="8">
        <v>9340659.0299999993</v>
      </c>
      <c r="M15" s="241">
        <v>9282945.0500000007</v>
      </c>
      <c r="N15" s="72"/>
      <c r="O15" s="100"/>
      <c r="P15" s="9"/>
      <c r="Q15" s="9">
        <v>355000</v>
      </c>
      <c r="R15" s="9"/>
      <c r="S15" s="152">
        <v>46295</v>
      </c>
      <c r="T15" s="10"/>
      <c r="U15" s="23"/>
      <c r="V15" s="11"/>
      <c r="W15" s="11"/>
      <c r="X15" s="8">
        <v>6291753.5099999998</v>
      </c>
      <c r="Y15" s="9"/>
      <c r="Z15" s="70">
        <v>282981.5</v>
      </c>
      <c r="AA15" s="71"/>
      <c r="AB15" s="108"/>
      <c r="AC15" s="9">
        <v>223153</v>
      </c>
      <c r="AD15" s="9"/>
      <c r="AE15" s="10"/>
      <c r="AF15" s="24">
        <v>0</v>
      </c>
      <c r="AG15" s="11">
        <v>94191.08</v>
      </c>
      <c r="AH15" s="8">
        <v>94191.08</v>
      </c>
      <c r="AI15" s="9">
        <v>0</v>
      </c>
      <c r="AJ15" s="9">
        <v>0</v>
      </c>
      <c r="AK15" s="10"/>
      <c r="AL15" s="11"/>
      <c r="AM15" s="8">
        <v>6197562.4299999997</v>
      </c>
      <c r="AN15" s="9"/>
      <c r="AO15" s="9"/>
      <c r="AP15" s="10"/>
      <c r="AQ15" s="25"/>
      <c r="AR15" s="25"/>
      <c r="AS15" s="25"/>
      <c r="AT15" s="10"/>
      <c r="AU15" s="12">
        <v>6679434.6299999999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9700445.0500000007</v>
      </c>
      <c r="BF15" s="15">
        <v>9282945.0500000007</v>
      </c>
      <c r="BG15" s="15">
        <v>282981.5</v>
      </c>
      <c r="BH15" s="15">
        <v>9700445.0500000007</v>
      </c>
      <c r="BI15" s="15">
        <v>9282945.0500000007</v>
      </c>
      <c r="BJ15" s="242">
        <v>0</v>
      </c>
      <c r="BK15" s="242">
        <v>223153</v>
      </c>
      <c r="BL15" s="242"/>
      <c r="BM15" s="242">
        <v>1</v>
      </c>
      <c r="BN15" s="242">
        <v>355000</v>
      </c>
      <c r="BO15" s="242">
        <v>0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94">
        <v>282981.5</v>
      </c>
      <c r="CC15" s="246" t="s">
        <v>634</v>
      </c>
      <c r="CD15" s="242">
        <v>0</v>
      </c>
      <c r="CE15" s="242">
        <v>94191.08</v>
      </c>
      <c r="CF15" s="242">
        <v>0</v>
      </c>
      <c r="CG15" s="242">
        <v>94191.08</v>
      </c>
      <c r="CH15" s="242">
        <v>0</v>
      </c>
      <c r="CI15" s="247" t="s">
        <v>633</v>
      </c>
      <c r="CJ15" s="248">
        <v>6291753.5099999998</v>
      </c>
      <c r="CK15" s="248">
        <v>6197562.4299999997</v>
      </c>
      <c r="CL15" s="248">
        <v>6679434.6299999999</v>
      </c>
      <c r="CM15" s="248">
        <v>0</v>
      </c>
    </row>
    <row r="16" spans="1:102" x14ac:dyDescent="0.25">
      <c r="A16" s="231" t="s">
        <v>659</v>
      </c>
      <c r="B16" s="232" t="s">
        <v>660</v>
      </c>
      <c r="C16" s="232" t="s">
        <v>643</v>
      </c>
      <c r="D16" s="233"/>
      <c r="E16" s="234">
        <v>95347.5</v>
      </c>
      <c r="F16" s="235">
        <v>95347.5</v>
      </c>
      <c r="G16" s="236"/>
      <c r="H16" s="237"/>
      <c r="I16" s="238">
        <v>130099.7</v>
      </c>
      <c r="J16" s="249"/>
      <c r="K16" s="240"/>
      <c r="L16" s="8">
        <v>93443.34</v>
      </c>
      <c r="M16" s="241">
        <v>90099.7</v>
      </c>
      <c r="N16" s="72"/>
      <c r="O16" s="100"/>
      <c r="P16" s="9"/>
      <c r="Q16" s="9">
        <v>40000</v>
      </c>
      <c r="R16" s="9"/>
      <c r="S16" s="152">
        <v>46081</v>
      </c>
      <c r="T16" s="10"/>
      <c r="U16" s="23"/>
      <c r="V16" s="11"/>
      <c r="W16" s="11"/>
      <c r="X16" s="8">
        <v>67155.31</v>
      </c>
      <c r="Y16" s="9"/>
      <c r="Z16" s="70">
        <v>29812</v>
      </c>
      <c r="AA16" s="72"/>
      <c r="AB16" s="108"/>
      <c r="AC16" s="9">
        <v>22312</v>
      </c>
      <c r="AD16" s="9"/>
      <c r="AE16" s="10"/>
      <c r="AF16" s="24">
        <v>0</v>
      </c>
      <c r="AG16" s="11">
        <v>798.43</v>
      </c>
      <c r="AH16" s="8">
        <v>798.43</v>
      </c>
      <c r="AI16" s="9">
        <v>0</v>
      </c>
      <c r="AJ16" s="9">
        <v>0</v>
      </c>
      <c r="AK16" s="10"/>
      <c r="AL16" s="11"/>
      <c r="AM16" s="8">
        <v>66356.88</v>
      </c>
      <c r="AN16" s="9"/>
      <c r="AO16" s="9"/>
      <c r="AP16" s="10"/>
      <c r="AQ16" s="25"/>
      <c r="AR16" s="25"/>
      <c r="AS16" s="25"/>
      <c r="AT16" s="10"/>
      <c r="AU16" s="12">
        <v>95374.7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130099.7</v>
      </c>
      <c r="BF16" s="15">
        <v>90099.7</v>
      </c>
      <c r="BG16" s="15">
        <v>29812</v>
      </c>
      <c r="BH16" s="15">
        <v>130099.7</v>
      </c>
      <c r="BI16" s="15">
        <v>90099.7</v>
      </c>
      <c r="BJ16" s="242">
        <v>0</v>
      </c>
      <c r="BK16" s="242">
        <v>22312</v>
      </c>
      <c r="BL16" s="242"/>
      <c r="BM16" s="242">
        <v>1</v>
      </c>
      <c r="BN16" s="242">
        <v>40000</v>
      </c>
      <c r="BO16" s="242">
        <v>0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94">
        <v>29812</v>
      </c>
      <c r="CC16" s="246" t="s">
        <v>634</v>
      </c>
      <c r="CD16" s="242">
        <v>0</v>
      </c>
      <c r="CE16" s="242">
        <v>798.43</v>
      </c>
      <c r="CF16" s="242">
        <v>0</v>
      </c>
      <c r="CG16" s="242">
        <v>798.43</v>
      </c>
      <c r="CH16" s="242">
        <v>0</v>
      </c>
      <c r="CI16" s="247" t="s">
        <v>633</v>
      </c>
      <c r="CJ16" s="248">
        <v>67155.31</v>
      </c>
      <c r="CK16" s="248">
        <v>66356.88</v>
      </c>
      <c r="CL16" s="248">
        <v>95374.7</v>
      </c>
      <c r="CM16" s="248">
        <v>0</v>
      </c>
    </row>
    <row r="17" spans="1:91" x14ac:dyDescent="0.25">
      <c r="A17" s="231" t="s">
        <v>661</v>
      </c>
      <c r="B17" s="232" t="s">
        <v>662</v>
      </c>
      <c r="C17" s="232" t="s">
        <v>646</v>
      </c>
      <c r="D17" s="233"/>
      <c r="E17" s="234">
        <v>1320507</v>
      </c>
      <c r="F17" s="235">
        <v>1320507</v>
      </c>
      <c r="G17" s="236"/>
      <c r="H17" s="237"/>
      <c r="I17" s="238">
        <v>1320507</v>
      </c>
      <c r="J17" s="249"/>
      <c r="K17" s="240"/>
      <c r="L17" s="8">
        <v>1076030.25</v>
      </c>
      <c r="M17" s="241">
        <v>1068507</v>
      </c>
      <c r="N17" s="72"/>
      <c r="O17" s="100"/>
      <c r="P17" s="9"/>
      <c r="Q17" s="9">
        <v>240000</v>
      </c>
      <c r="R17" s="9"/>
      <c r="S17" s="152">
        <v>46081</v>
      </c>
      <c r="T17" s="10"/>
      <c r="U17" s="23"/>
      <c r="V17" s="11"/>
      <c r="W17" s="11"/>
      <c r="X17" s="8">
        <v>659966.59</v>
      </c>
      <c r="Y17" s="9"/>
      <c r="Z17" s="70">
        <v>155660.4</v>
      </c>
      <c r="AA17" s="71"/>
      <c r="AB17" s="108"/>
      <c r="AC17" s="9">
        <v>146496</v>
      </c>
      <c r="AD17" s="9"/>
      <c r="AE17" s="10"/>
      <c r="AF17" s="24">
        <v>0</v>
      </c>
      <c r="AG17" s="11">
        <v>8274.0400000000009</v>
      </c>
      <c r="AH17" s="8">
        <v>8274.0400000000009</v>
      </c>
      <c r="AI17" s="9">
        <v>0</v>
      </c>
      <c r="AJ17" s="9">
        <v>0</v>
      </c>
      <c r="AK17" s="10"/>
      <c r="AL17" s="11"/>
      <c r="AM17" s="8">
        <v>651692.55000000005</v>
      </c>
      <c r="AN17" s="9"/>
      <c r="AO17" s="9"/>
      <c r="AP17" s="10"/>
      <c r="AQ17" s="25"/>
      <c r="AR17" s="25"/>
      <c r="AS17" s="25"/>
      <c r="AT17" s="10"/>
      <c r="AU17" s="12">
        <v>891634.06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1320507</v>
      </c>
      <c r="BF17" s="15">
        <v>1068507</v>
      </c>
      <c r="BG17" s="15">
        <v>155660.4</v>
      </c>
      <c r="BH17" s="15">
        <v>1320507</v>
      </c>
      <c r="BI17" s="15">
        <v>1068507</v>
      </c>
      <c r="BJ17" s="242">
        <v>0</v>
      </c>
      <c r="BK17" s="242">
        <v>146496</v>
      </c>
      <c r="BL17" s="242"/>
      <c r="BM17" s="242">
        <v>1</v>
      </c>
      <c r="BN17" s="242">
        <v>240000</v>
      </c>
      <c r="BO17" s="242">
        <v>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94">
        <v>155660.4</v>
      </c>
      <c r="CC17" s="246" t="s">
        <v>634</v>
      </c>
      <c r="CD17" s="242">
        <v>0</v>
      </c>
      <c r="CE17" s="242">
        <v>8274.0400000000009</v>
      </c>
      <c r="CF17" s="242">
        <v>0</v>
      </c>
      <c r="CG17" s="242">
        <v>8274.0400000000009</v>
      </c>
      <c r="CH17" s="242">
        <v>0</v>
      </c>
      <c r="CI17" s="247" t="s">
        <v>633</v>
      </c>
      <c r="CJ17" s="248">
        <v>659966.59</v>
      </c>
      <c r="CK17" s="248">
        <v>651692.55000000005</v>
      </c>
      <c r="CL17" s="248">
        <v>891634.06</v>
      </c>
      <c r="CM17" s="248">
        <v>0</v>
      </c>
    </row>
    <row r="18" spans="1:91" x14ac:dyDescent="0.25">
      <c r="A18" s="231" t="s">
        <v>663</v>
      </c>
      <c r="B18" s="232" t="s">
        <v>664</v>
      </c>
      <c r="C18" s="232" t="s">
        <v>646</v>
      </c>
      <c r="D18" s="233"/>
      <c r="E18" s="234">
        <v>3285820.5</v>
      </c>
      <c r="F18" s="235">
        <v>3460630.45</v>
      </c>
      <c r="G18" s="236"/>
      <c r="H18" s="237"/>
      <c r="I18" s="238">
        <v>3460630.45</v>
      </c>
      <c r="J18" s="249"/>
      <c r="K18" s="240"/>
      <c r="L18" s="8">
        <v>3074258.36</v>
      </c>
      <c r="M18" s="241">
        <v>3270630.45</v>
      </c>
      <c r="N18" s="72"/>
      <c r="O18" s="100"/>
      <c r="P18" s="9"/>
      <c r="Q18" s="9">
        <v>208000</v>
      </c>
      <c r="R18" s="9"/>
      <c r="S18" s="152">
        <v>46265</v>
      </c>
      <c r="T18" s="10"/>
      <c r="U18" s="23"/>
      <c r="V18" s="11"/>
      <c r="W18" s="11"/>
      <c r="X18" s="8">
        <v>2864556.19</v>
      </c>
      <c r="Y18" s="9"/>
      <c r="Z18" s="70">
        <v>166402</v>
      </c>
      <c r="AA18" s="71"/>
      <c r="AB18" s="108"/>
      <c r="AC18" s="9">
        <v>177985.6</v>
      </c>
      <c r="AD18" s="9"/>
      <c r="AE18" s="10"/>
      <c r="AF18" s="24">
        <v>0</v>
      </c>
      <c r="AG18" s="11">
        <v>1275.9100000000001</v>
      </c>
      <c r="AH18" s="8">
        <v>1275.9100000000001</v>
      </c>
      <c r="AI18" s="9">
        <v>0</v>
      </c>
      <c r="AJ18" s="9">
        <v>0</v>
      </c>
      <c r="AK18" s="10"/>
      <c r="AL18" s="11"/>
      <c r="AM18" s="8">
        <v>2863280.28</v>
      </c>
      <c r="AN18" s="9"/>
      <c r="AO18" s="9"/>
      <c r="AP18" s="10"/>
      <c r="AQ18" s="25"/>
      <c r="AR18" s="25"/>
      <c r="AS18" s="25"/>
      <c r="AT18" s="10"/>
      <c r="AU18" s="12">
        <v>3006711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3460630.45</v>
      </c>
      <c r="BF18" s="15">
        <v>3270630.45</v>
      </c>
      <c r="BG18" s="15">
        <v>166402</v>
      </c>
      <c r="BH18" s="15">
        <v>3460630.45</v>
      </c>
      <c r="BI18" s="15">
        <v>3270630.45</v>
      </c>
      <c r="BJ18" s="242">
        <v>0</v>
      </c>
      <c r="BK18" s="242">
        <v>177985.6</v>
      </c>
      <c r="BL18" s="242"/>
      <c r="BM18" s="242">
        <v>1</v>
      </c>
      <c r="BN18" s="242">
        <v>208000</v>
      </c>
      <c r="BO18" s="242">
        <v>0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94">
        <v>166402</v>
      </c>
      <c r="CC18" s="246" t="s">
        <v>634</v>
      </c>
      <c r="CD18" s="242">
        <v>0</v>
      </c>
      <c r="CE18" s="242">
        <v>1275.9100000000001</v>
      </c>
      <c r="CF18" s="242">
        <v>0</v>
      </c>
      <c r="CG18" s="242">
        <v>1275.9100000000001</v>
      </c>
      <c r="CH18" s="242">
        <v>0</v>
      </c>
      <c r="CI18" s="247" t="s">
        <v>633</v>
      </c>
      <c r="CJ18" s="248">
        <v>2864556.19</v>
      </c>
      <c r="CK18" s="248">
        <v>2863280.28</v>
      </c>
      <c r="CL18" s="248">
        <v>3006711</v>
      </c>
      <c r="CM18" s="248">
        <v>0</v>
      </c>
    </row>
    <row r="19" spans="1:91" x14ac:dyDescent="0.25">
      <c r="A19" s="231" t="s">
        <v>665</v>
      </c>
      <c r="B19" s="232" t="s">
        <v>666</v>
      </c>
      <c r="C19" s="232" t="s">
        <v>646</v>
      </c>
      <c r="D19" s="233"/>
      <c r="E19" s="234">
        <v>1289873.3</v>
      </c>
      <c r="F19" s="235">
        <v>1289873.3</v>
      </c>
      <c r="G19" s="236"/>
      <c r="H19" s="237"/>
      <c r="I19" s="238">
        <v>1289873</v>
      </c>
      <c r="J19" s="239"/>
      <c r="K19" s="240"/>
      <c r="L19" s="8">
        <v>1037617.98</v>
      </c>
      <c r="M19" s="241">
        <v>1037873</v>
      </c>
      <c r="N19" s="72"/>
      <c r="O19" s="100"/>
      <c r="P19" s="9"/>
      <c r="Q19" s="9">
        <v>253000</v>
      </c>
      <c r="R19" s="9"/>
      <c r="S19" s="152">
        <v>46053</v>
      </c>
      <c r="T19" s="10"/>
      <c r="U19" s="23"/>
      <c r="V19" s="11"/>
      <c r="W19" s="11"/>
      <c r="X19" s="8">
        <v>1023662.02</v>
      </c>
      <c r="Y19" s="9"/>
      <c r="Z19" s="70">
        <v>248547.6</v>
      </c>
      <c r="AA19" s="71"/>
      <c r="AB19" s="108"/>
      <c r="AC19" s="9">
        <v>247965.3</v>
      </c>
      <c r="AD19" s="9"/>
      <c r="AE19" s="10"/>
      <c r="AF19" s="24">
        <v>0</v>
      </c>
      <c r="AG19" s="11">
        <v>4004.51</v>
      </c>
      <c r="AH19" s="8">
        <v>4004.51</v>
      </c>
      <c r="AI19" s="9">
        <v>0</v>
      </c>
      <c r="AJ19" s="9">
        <v>0</v>
      </c>
      <c r="AK19" s="10"/>
      <c r="AL19" s="11"/>
      <c r="AM19" s="8">
        <v>1019657.51</v>
      </c>
      <c r="AN19" s="9"/>
      <c r="AO19" s="9"/>
      <c r="AP19" s="10"/>
      <c r="AQ19" s="25"/>
      <c r="AR19" s="25"/>
      <c r="AS19" s="25"/>
      <c r="AT19" s="10"/>
      <c r="AU19" s="12">
        <v>1285313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1289873</v>
      </c>
      <c r="BF19" s="15">
        <v>1037873</v>
      </c>
      <c r="BG19" s="15">
        <v>248547.6</v>
      </c>
      <c r="BH19" s="15">
        <v>1289873</v>
      </c>
      <c r="BI19" s="15">
        <v>1037873</v>
      </c>
      <c r="BJ19" s="242">
        <v>0</v>
      </c>
      <c r="BK19" s="242">
        <v>247965.3</v>
      </c>
      <c r="BL19" s="242"/>
      <c r="BM19" s="242">
        <v>1</v>
      </c>
      <c r="BN19" s="242">
        <v>253000</v>
      </c>
      <c r="BO19" s="242">
        <v>0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94">
        <v>248547.6</v>
      </c>
      <c r="CC19" s="246" t="s">
        <v>634</v>
      </c>
      <c r="CD19" s="242">
        <v>0</v>
      </c>
      <c r="CE19" s="242">
        <v>4004.51</v>
      </c>
      <c r="CF19" s="242">
        <v>0</v>
      </c>
      <c r="CG19" s="242">
        <v>4004.51</v>
      </c>
      <c r="CH19" s="242">
        <v>0</v>
      </c>
      <c r="CI19" s="247" t="s">
        <v>633</v>
      </c>
      <c r="CJ19" s="248">
        <v>1023662.02</v>
      </c>
      <c r="CK19" s="248">
        <v>1019657.51</v>
      </c>
      <c r="CL19" s="248">
        <v>1285313</v>
      </c>
      <c r="CM19" s="248">
        <v>0</v>
      </c>
    </row>
    <row r="20" spans="1:91" x14ac:dyDescent="0.25">
      <c r="A20" s="231" t="s">
        <v>667</v>
      </c>
      <c r="B20" s="232" t="s">
        <v>668</v>
      </c>
      <c r="C20" s="232" t="s">
        <v>649</v>
      </c>
      <c r="D20" s="233"/>
      <c r="E20" s="234">
        <v>9987006.4499999993</v>
      </c>
      <c r="F20" s="235">
        <v>9987006.4499999993</v>
      </c>
      <c r="G20" s="236"/>
      <c r="H20" s="237"/>
      <c r="I20" s="238">
        <v>9987006.4499999993</v>
      </c>
      <c r="J20" s="239"/>
      <c r="K20" s="240"/>
      <c r="L20" s="8">
        <v>9405813.2799999993</v>
      </c>
      <c r="M20" s="241">
        <v>9527006.4499999993</v>
      </c>
      <c r="N20" s="72"/>
      <c r="O20" s="100"/>
      <c r="P20" s="9"/>
      <c r="Q20" s="9">
        <v>460000</v>
      </c>
      <c r="R20" s="9"/>
      <c r="S20" s="152">
        <v>46234</v>
      </c>
      <c r="T20" s="10"/>
      <c r="U20" s="23"/>
      <c r="V20" s="11"/>
      <c r="W20" s="11"/>
      <c r="X20" s="8">
        <v>3801478.48</v>
      </c>
      <c r="Y20" s="9"/>
      <c r="Z20" s="70">
        <v>183540</v>
      </c>
      <c r="AA20" s="71"/>
      <c r="AB20" s="108"/>
      <c r="AC20" s="9">
        <v>0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3801478.48</v>
      </c>
      <c r="AN20" s="9"/>
      <c r="AO20" s="9"/>
      <c r="AP20" s="10"/>
      <c r="AQ20" s="25"/>
      <c r="AR20" s="25"/>
      <c r="AS20" s="25"/>
      <c r="AT20" s="10"/>
      <c r="AU20" s="12">
        <v>3126995.98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9987006.4499999993</v>
      </c>
      <c r="BF20" s="15">
        <v>9527006.4499999993</v>
      </c>
      <c r="BG20" s="15">
        <v>183540</v>
      </c>
      <c r="BH20" s="15">
        <v>9987006.4499999993</v>
      </c>
      <c r="BI20" s="15">
        <v>9527006.4499999993</v>
      </c>
      <c r="BJ20" s="242">
        <v>0</v>
      </c>
      <c r="BK20" s="242">
        <v>0</v>
      </c>
      <c r="BL20" s="242"/>
      <c r="BM20" s="242">
        <v>1</v>
      </c>
      <c r="BN20" s="242">
        <v>460000</v>
      </c>
      <c r="BO20" s="242">
        <v>0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94">
        <v>183540</v>
      </c>
      <c r="CC20" s="246" t="s">
        <v>634</v>
      </c>
      <c r="CD20" s="242">
        <v>0</v>
      </c>
      <c r="CE20" s="242">
        <v>0</v>
      </c>
      <c r="CF20" s="242">
        <v>0</v>
      </c>
      <c r="CG20" s="242">
        <v>0</v>
      </c>
      <c r="CH20" s="242">
        <v>0</v>
      </c>
      <c r="CI20" s="247" t="s">
        <v>633</v>
      </c>
      <c r="CJ20" s="248">
        <v>3801478.48</v>
      </c>
      <c r="CK20" s="248">
        <v>3801478.48</v>
      </c>
      <c r="CL20" s="248">
        <v>3126995.98</v>
      </c>
      <c r="CM20" s="248">
        <v>0</v>
      </c>
    </row>
    <row r="21" spans="1:91" x14ac:dyDescent="0.25">
      <c r="A21" s="231" t="s">
        <v>669</v>
      </c>
      <c r="B21" s="232" t="s">
        <v>670</v>
      </c>
      <c r="C21" s="232" t="s">
        <v>636</v>
      </c>
      <c r="D21" s="233"/>
      <c r="E21" s="234">
        <v>168405</v>
      </c>
      <c r="F21" s="235">
        <v>168405</v>
      </c>
      <c r="G21" s="236"/>
      <c r="H21" s="237"/>
      <c r="I21" s="238">
        <v>168405</v>
      </c>
      <c r="J21" s="239"/>
      <c r="K21" s="240"/>
      <c r="L21" s="8">
        <v>4103.97</v>
      </c>
      <c r="M21" s="241">
        <v>145405</v>
      </c>
      <c r="N21" s="71"/>
      <c r="O21" s="100"/>
      <c r="P21" s="9"/>
      <c r="Q21" s="9">
        <v>23000</v>
      </c>
      <c r="R21" s="9"/>
      <c r="S21" s="152">
        <v>46142</v>
      </c>
      <c r="T21" s="10"/>
      <c r="U21" s="23"/>
      <c r="V21" s="11"/>
      <c r="W21" s="11"/>
      <c r="X21" s="8">
        <v>4103.97</v>
      </c>
      <c r="Y21" s="9"/>
      <c r="Z21" s="70">
        <v>0</v>
      </c>
      <c r="AA21" s="71"/>
      <c r="AB21" s="108"/>
      <c r="AC21" s="9">
        <v>0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4103.97</v>
      </c>
      <c r="AN21" s="9"/>
      <c r="AO21" s="9"/>
      <c r="AP21" s="10"/>
      <c r="AQ21" s="25"/>
      <c r="AR21" s="25"/>
      <c r="AS21" s="25"/>
      <c r="AT21" s="10"/>
      <c r="AU21" s="12">
        <v>0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168405</v>
      </c>
      <c r="BF21" s="15">
        <v>145405</v>
      </c>
      <c r="BG21" s="242">
        <v>0</v>
      </c>
      <c r="BH21" s="15">
        <v>168405</v>
      </c>
      <c r="BI21" s="15">
        <v>145405</v>
      </c>
      <c r="BJ21" s="242">
        <v>0</v>
      </c>
      <c r="BK21" s="242">
        <v>0</v>
      </c>
      <c r="BL21" s="242"/>
      <c r="BM21" s="242">
        <v>1</v>
      </c>
      <c r="BN21" s="242">
        <v>23000</v>
      </c>
      <c r="BO21" s="242">
        <v>0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 t="s">
        <v>634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4103.97</v>
      </c>
      <c r="CK21" s="248">
        <v>4103.97</v>
      </c>
      <c r="CL21" s="248">
        <v>0</v>
      </c>
      <c r="CM21" s="248">
        <v>0</v>
      </c>
    </row>
    <row r="22" spans="1:91" x14ac:dyDescent="0.25">
      <c r="A22" s="231" t="s">
        <v>671</v>
      </c>
      <c r="B22" s="232" t="s">
        <v>672</v>
      </c>
      <c r="C22" s="232" t="s">
        <v>652</v>
      </c>
      <c r="D22" s="233"/>
      <c r="E22" s="234">
        <v>218115</v>
      </c>
      <c r="F22" s="235">
        <v>218115</v>
      </c>
      <c r="G22" s="236"/>
      <c r="H22" s="237"/>
      <c r="I22" s="238">
        <v>218115</v>
      </c>
      <c r="J22" s="239"/>
      <c r="K22" s="240"/>
      <c r="L22" s="8">
        <v>1678.33</v>
      </c>
      <c r="M22" s="241">
        <v>189115</v>
      </c>
      <c r="N22" s="71"/>
      <c r="O22" s="100"/>
      <c r="P22" s="9"/>
      <c r="Q22" s="9">
        <v>29000</v>
      </c>
      <c r="R22" s="9"/>
      <c r="S22" s="152">
        <v>46112</v>
      </c>
      <c r="T22" s="10"/>
      <c r="U22" s="23"/>
      <c r="V22" s="11"/>
      <c r="W22" s="11"/>
      <c r="X22" s="8">
        <v>1678.33</v>
      </c>
      <c r="Y22" s="9"/>
      <c r="Z22" s="70">
        <v>0</v>
      </c>
      <c r="AA22" s="71"/>
      <c r="AB22" s="108"/>
      <c r="AC22" s="9">
        <v>0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1678.33</v>
      </c>
      <c r="AN22" s="9"/>
      <c r="AO22" s="9"/>
      <c r="AP22" s="10"/>
      <c r="AQ22" s="25"/>
      <c r="AR22" s="25"/>
      <c r="AS22" s="25"/>
      <c r="AT22" s="10"/>
      <c r="AU22" s="12">
        <v>0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218115</v>
      </c>
      <c r="BF22" s="15">
        <v>189115</v>
      </c>
      <c r="BG22" s="242">
        <v>0</v>
      </c>
      <c r="BH22" s="15">
        <v>218115</v>
      </c>
      <c r="BI22" s="15">
        <v>189115</v>
      </c>
      <c r="BJ22" s="242">
        <v>0</v>
      </c>
      <c r="BK22" s="242">
        <v>0</v>
      </c>
      <c r="BL22" s="242"/>
      <c r="BM22" s="242">
        <v>1</v>
      </c>
      <c r="BN22" s="242">
        <v>29000</v>
      </c>
      <c r="BO22" s="242">
        <v>0</v>
      </c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 t="s">
        <v>634</v>
      </c>
      <c r="CD22" s="242">
        <v>0</v>
      </c>
      <c r="CE22" s="242">
        <v>0</v>
      </c>
      <c r="CF22" s="242">
        <v>0</v>
      </c>
      <c r="CG22" s="242">
        <v>0</v>
      </c>
      <c r="CH22" s="242">
        <v>0</v>
      </c>
      <c r="CI22" s="247" t="s">
        <v>633</v>
      </c>
      <c r="CJ22" s="248">
        <v>1678.33</v>
      </c>
      <c r="CK22" s="248">
        <v>1678.33</v>
      </c>
      <c r="CL22" s="248">
        <v>0</v>
      </c>
      <c r="CM22" s="248">
        <v>0</v>
      </c>
    </row>
    <row r="23" spans="1:91" x14ac:dyDescent="0.25">
      <c r="A23" s="231" t="s">
        <v>673</v>
      </c>
      <c r="B23" s="232" t="s">
        <v>674</v>
      </c>
      <c r="C23" s="232" t="s">
        <v>646</v>
      </c>
      <c r="D23" s="233"/>
      <c r="E23" s="234">
        <v>9177239.8000000007</v>
      </c>
      <c r="F23" s="235">
        <v>9177239.8000000007</v>
      </c>
      <c r="G23" s="236"/>
      <c r="H23" s="237"/>
      <c r="I23" s="238">
        <v>9177239.8000000007</v>
      </c>
      <c r="J23" s="239"/>
      <c r="K23" s="240"/>
      <c r="L23" s="8">
        <v>8714918.5600000005</v>
      </c>
      <c r="M23" s="241">
        <v>8702239.8000000007</v>
      </c>
      <c r="N23" s="71"/>
      <c r="O23" s="100"/>
      <c r="P23" s="9"/>
      <c r="Q23" s="9">
        <v>475000</v>
      </c>
      <c r="R23" s="9"/>
      <c r="S23" s="152">
        <v>46418</v>
      </c>
      <c r="T23" s="10"/>
      <c r="U23" s="23"/>
      <c r="V23" s="11"/>
      <c r="W23" s="11"/>
      <c r="X23" s="8">
        <v>479050.68</v>
      </c>
      <c r="Y23" s="9"/>
      <c r="Z23" s="70">
        <v>0</v>
      </c>
      <c r="AA23" s="71"/>
      <c r="AB23" s="108"/>
      <c r="AC23" s="9">
        <v>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479050.68</v>
      </c>
      <c r="AN23" s="9"/>
      <c r="AO23" s="9"/>
      <c r="AP23" s="10"/>
      <c r="AQ23" s="25"/>
      <c r="AR23" s="25"/>
      <c r="AS23" s="25"/>
      <c r="AT23" s="10"/>
      <c r="AU23" s="12">
        <v>462062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9177239.8000000007</v>
      </c>
      <c r="BF23" s="15">
        <v>8702239.8000000007</v>
      </c>
      <c r="BG23" s="242">
        <v>0</v>
      </c>
      <c r="BH23" s="15">
        <v>9177239.8000000007</v>
      </c>
      <c r="BI23" s="15">
        <v>8702239.8000000007</v>
      </c>
      <c r="BJ23" s="242">
        <v>0</v>
      </c>
      <c r="BK23" s="242">
        <v>0</v>
      </c>
      <c r="BL23" s="242"/>
      <c r="BM23" s="242">
        <v>1</v>
      </c>
      <c r="BN23" s="242">
        <v>475000</v>
      </c>
      <c r="BO23" s="242">
        <v>0</v>
      </c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 t="s">
        <v>634</v>
      </c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479050.68</v>
      </c>
      <c r="CK23" s="248">
        <v>479050.68</v>
      </c>
      <c r="CL23" s="248">
        <v>462062</v>
      </c>
      <c r="CM23" s="248">
        <v>0</v>
      </c>
    </row>
    <row r="24" spans="1:91" x14ac:dyDescent="0.25">
      <c r="A24" s="231" t="s">
        <v>675</v>
      </c>
      <c r="B24" s="232" t="s">
        <v>676</v>
      </c>
      <c r="C24" s="232" t="s">
        <v>643</v>
      </c>
      <c r="D24" s="233"/>
      <c r="E24" s="234">
        <v>699952</v>
      </c>
      <c r="F24" s="235">
        <v>699952</v>
      </c>
      <c r="G24" s="236"/>
      <c r="H24" s="237"/>
      <c r="I24" s="238">
        <v>699952</v>
      </c>
      <c r="J24" s="239"/>
      <c r="K24" s="240"/>
      <c r="L24" s="8">
        <v>609496.55000000005</v>
      </c>
      <c r="M24" s="241">
        <v>654952</v>
      </c>
      <c r="N24" s="71"/>
      <c r="O24" s="100"/>
      <c r="P24" s="9"/>
      <c r="Q24" s="9">
        <v>45000</v>
      </c>
      <c r="R24" s="9"/>
      <c r="S24" s="152">
        <v>46203</v>
      </c>
      <c r="T24" s="10"/>
      <c r="U24" s="23"/>
      <c r="V24" s="11"/>
      <c r="W24" s="11"/>
      <c r="X24" s="8">
        <v>7000.71</v>
      </c>
      <c r="Y24" s="9"/>
      <c r="Z24" s="70">
        <v>0</v>
      </c>
      <c r="AA24" s="71"/>
      <c r="AB24" s="108"/>
      <c r="AC24" s="9">
        <v>0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7000.71</v>
      </c>
      <c r="AN24" s="9"/>
      <c r="AO24" s="9"/>
      <c r="AP24" s="10"/>
      <c r="AQ24" s="25"/>
      <c r="AR24" s="25"/>
      <c r="AS24" s="25"/>
      <c r="AT24" s="10"/>
      <c r="AU24" s="12">
        <v>0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699952</v>
      </c>
      <c r="BF24" s="15">
        <v>654952</v>
      </c>
      <c r="BG24" s="242">
        <v>0</v>
      </c>
      <c r="BH24" s="15">
        <v>699952</v>
      </c>
      <c r="BI24" s="15">
        <v>654952</v>
      </c>
      <c r="BJ24" s="242">
        <v>0</v>
      </c>
      <c r="BK24" s="242">
        <v>0</v>
      </c>
      <c r="BL24" s="242"/>
      <c r="BM24" s="242">
        <v>1</v>
      </c>
      <c r="BN24" s="242">
        <v>45000</v>
      </c>
      <c r="BO24" s="242">
        <v>0</v>
      </c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 t="s">
        <v>634</v>
      </c>
      <c r="CD24" s="242">
        <v>0</v>
      </c>
      <c r="CE24" s="242">
        <v>0</v>
      </c>
      <c r="CF24" s="242">
        <v>0</v>
      </c>
      <c r="CG24" s="242">
        <v>0</v>
      </c>
      <c r="CH24" s="242">
        <v>0</v>
      </c>
      <c r="CI24" s="247" t="s">
        <v>633</v>
      </c>
      <c r="CJ24" s="248">
        <v>7000.71</v>
      </c>
      <c r="CK24" s="248">
        <v>7000.71</v>
      </c>
      <c r="CL24" s="248">
        <v>0</v>
      </c>
      <c r="CM24" s="248">
        <v>0</v>
      </c>
    </row>
    <row r="25" spans="1:91" x14ac:dyDescent="0.25">
      <c r="A25" s="231"/>
      <c r="B25" s="120" t="s">
        <v>677</v>
      </c>
      <c r="C25" s="232"/>
      <c r="D25" s="233"/>
      <c r="E25" s="279">
        <f>SUM(E8:E24)</f>
        <v>55809102.5</v>
      </c>
      <c r="F25" s="268">
        <f>SUM(F8:F24)</f>
        <v>57129054.299999997</v>
      </c>
      <c r="G25" s="236"/>
      <c r="H25" s="237"/>
      <c r="I25" s="280">
        <f>SUM(I8:I24)</f>
        <v>56870859.560000002</v>
      </c>
      <c r="J25" s="249"/>
      <c r="K25" s="240"/>
      <c r="L25" s="272">
        <f>SUM(L8:L24)</f>
        <v>51875414.359999999</v>
      </c>
      <c r="M25" s="281">
        <f>SUM(M8:M24)</f>
        <v>52456359.560000002</v>
      </c>
      <c r="N25" s="71"/>
      <c r="O25" s="100"/>
      <c r="P25" s="270">
        <f>SUM(P8:P24)</f>
        <v>0</v>
      </c>
      <c r="Q25" s="270">
        <f>SUM(Q8:Q24)</f>
        <v>4174000</v>
      </c>
      <c r="R25" s="270">
        <f>SUM(R8:R24)</f>
        <v>0</v>
      </c>
      <c r="S25" s="152"/>
      <c r="T25" s="10"/>
      <c r="U25" s="23"/>
      <c r="V25" s="271">
        <f>SUM(V8:V24)</f>
        <v>0</v>
      </c>
      <c r="W25" s="271">
        <f>SUM(W8:W24)</f>
        <v>0</v>
      </c>
      <c r="X25" s="272">
        <f>SUM(X8:X24)</f>
        <v>31703616.52</v>
      </c>
      <c r="Y25" s="270">
        <f>SUM(Y8:Y24)</f>
        <v>0</v>
      </c>
      <c r="Z25" s="282">
        <f>SUM(Z8:Z24)</f>
        <v>3091427.1</v>
      </c>
      <c r="AA25" s="71"/>
      <c r="AB25" s="108"/>
      <c r="AC25" s="270">
        <f>SUM(AC8:AC24)</f>
        <v>2577840</v>
      </c>
      <c r="AD25" s="270">
        <f>SUM(AD8:AD24)</f>
        <v>0</v>
      </c>
      <c r="AE25" s="10"/>
      <c r="AF25" s="24"/>
      <c r="AG25" s="271">
        <f>SUM(AG8:AG24)</f>
        <v>10834181.449999996</v>
      </c>
      <c r="AH25" s="272">
        <f>SUM(AH8:AH24)</f>
        <v>9905427.9499999974</v>
      </c>
      <c r="AI25" s="270">
        <f>SUM(AI8:AI24)</f>
        <v>928753.5</v>
      </c>
      <c r="AJ25" s="270">
        <f>SUM(AJ8:AJ24)</f>
        <v>928753.5</v>
      </c>
      <c r="AK25" s="10"/>
      <c r="AL25" s="271">
        <f>SUM(AL8:AL24)</f>
        <v>0</v>
      </c>
      <c r="AM25" s="272">
        <f>SUM(AM8:AM24)</f>
        <v>21798188.57</v>
      </c>
      <c r="AN25" s="270">
        <f>SUM(AN8:AN24)</f>
        <v>0</v>
      </c>
      <c r="AO25" s="270">
        <f>SUM(AO8:AO24)</f>
        <v>0</v>
      </c>
      <c r="AP25" s="10"/>
      <c r="AQ25" s="283">
        <f>SUM(AQ8:AQ24)</f>
        <v>0</v>
      </c>
      <c r="AR25" s="283">
        <f>SUM(AR8:AR24)</f>
        <v>0</v>
      </c>
      <c r="AS25" s="283">
        <f>SUM(AS8:AS24)</f>
        <v>0</v>
      </c>
      <c r="AT25" s="10"/>
      <c r="AU25" s="284">
        <f>SUM(AU8:AU24)</f>
        <v>33447148.289999999</v>
      </c>
      <c r="AV25" s="284">
        <f>SUM(AV8:AV24)</f>
        <v>0</v>
      </c>
      <c r="AW25" s="284">
        <f>SUM(AW8:AW24)</f>
        <v>0</v>
      </c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120" t="s">
        <v>632</v>
      </c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 t="s">
        <v>678</v>
      </c>
      <c r="B28" s="232" t="s">
        <v>679</v>
      </c>
      <c r="C28" s="232" t="s">
        <v>636</v>
      </c>
      <c r="D28" s="233"/>
      <c r="E28" s="234">
        <v>0</v>
      </c>
      <c r="F28" s="235">
        <v>0</v>
      </c>
      <c r="G28" s="236"/>
      <c r="H28" s="237"/>
      <c r="I28" s="238">
        <v>186.05</v>
      </c>
      <c r="J28" s="239"/>
      <c r="K28" s="240"/>
      <c r="L28" s="8">
        <v>186.05</v>
      </c>
      <c r="M28" s="241">
        <v>186.05</v>
      </c>
      <c r="N28" s="239"/>
      <c r="O28" s="240"/>
      <c r="P28" s="9"/>
      <c r="Q28" s="9"/>
      <c r="R28" s="9"/>
      <c r="S28" s="152">
        <v>45657</v>
      </c>
      <c r="T28" s="10"/>
      <c r="U28" s="23"/>
      <c r="V28" s="11"/>
      <c r="W28" s="11"/>
      <c r="X28" s="8">
        <v>186.05</v>
      </c>
      <c r="Y28" s="9"/>
      <c r="Z28" s="70">
        <v>0</v>
      </c>
      <c r="AA28" s="71"/>
      <c r="AB28" s="108"/>
      <c r="AC28" s="9"/>
      <c r="AD28" s="9"/>
      <c r="AE28" s="10"/>
      <c r="AF28" s="24">
        <v>0</v>
      </c>
      <c r="AG28" s="11">
        <v>186.05</v>
      </c>
      <c r="AH28" s="8">
        <v>186.05</v>
      </c>
      <c r="AI28" s="9">
        <v>0</v>
      </c>
      <c r="AJ28" s="9">
        <v>0</v>
      </c>
      <c r="AK28" s="10"/>
      <c r="AL28" s="11"/>
      <c r="AM28" s="8">
        <v>0</v>
      </c>
      <c r="AN28" s="9"/>
      <c r="AO28" s="9"/>
      <c r="AP28" s="10"/>
      <c r="AQ28" s="25"/>
      <c r="AR28" s="25"/>
      <c r="AS28" s="25"/>
      <c r="AT28" s="10"/>
      <c r="AU28" s="12">
        <v>186.05</v>
      </c>
      <c r="AV28" s="12"/>
      <c r="AW28" s="12"/>
      <c r="AX28" s="242"/>
      <c r="AY28" s="243"/>
      <c r="AZ28" s="242"/>
      <c r="BA28" s="242"/>
      <c r="BB28" s="244"/>
      <c r="BC28" s="243"/>
      <c r="BD28" s="243"/>
      <c r="BE28" s="242">
        <v>0</v>
      </c>
      <c r="BF28" s="242">
        <v>0</v>
      </c>
      <c r="BG28" s="242">
        <v>0</v>
      </c>
      <c r="BH28" s="242">
        <v>0</v>
      </c>
      <c r="BI28" s="242">
        <v>0</v>
      </c>
      <c r="BJ28" s="242">
        <v>0</v>
      </c>
      <c r="BK28" s="242">
        <v>0</v>
      </c>
      <c r="BL28" s="242"/>
      <c r="BM28" s="242">
        <v>2</v>
      </c>
      <c r="BN28" s="242">
        <v>0</v>
      </c>
      <c r="BO28" s="242">
        <v>0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>
        <v>0</v>
      </c>
      <c r="CE28" s="242">
        <v>186.05</v>
      </c>
      <c r="CF28" s="242">
        <v>0</v>
      </c>
      <c r="CG28" s="242">
        <v>186.05</v>
      </c>
      <c r="CH28" s="242">
        <v>0</v>
      </c>
      <c r="CI28" s="247" t="s">
        <v>633</v>
      </c>
      <c r="CJ28" s="248">
        <v>186.05</v>
      </c>
      <c r="CK28" s="248">
        <v>0</v>
      </c>
      <c r="CL28" s="248">
        <v>186.05</v>
      </c>
      <c r="CM28" s="248">
        <v>0</v>
      </c>
    </row>
    <row r="29" spans="1:91" x14ac:dyDescent="0.25">
      <c r="A29" s="231" t="s">
        <v>680</v>
      </c>
      <c r="B29" s="232" t="s">
        <v>681</v>
      </c>
      <c r="C29" s="232" t="s">
        <v>636</v>
      </c>
      <c r="D29" s="233"/>
      <c r="E29" s="234">
        <v>0</v>
      </c>
      <c r="F29" s="235">
        <v>0</v>
      </c>
      <c r="G29" s="236"/>
      <c r="H29" s="237"/>
      <c r="I29" s="238">
        <v>230.04</v>
      </c>
      <c r="J29" s="239"/>
      <c r="K29" s="240"/>
      <c r="L29" s="8">
        <v>174.5</v>
      </c>
      <c r="M29" s="241">
        <v>174.5</v>
      </c>
      <c r="N29" s="71"/>
      <c r="O29" s="100"/>
      <c r="P29" s="9"/>
      <c r="Q29" s="9"/>
      <c r="R29" s="9"/>
      <c r="S29" s="152">
        <v>45657</v>
      </c>
      <c r="T29" s="10"/>
      <c r="U29" s="23"/>
      <c r="V29" s="11"/>
      <c r="W29" s="11"/>
      <c r="X29" s="8">
        <v>174.5</v>
      </c>
      <c r="Y29" s="9"/>
      <c r="Z29" s="70">
        <v>0</v>
      </c>
      <c r="AA29" s="71"/>
      <c r="AB29" s="108"/>
      <c r="AC29" s="9"/>
      <c r="AD29" s="9"/>
      <c r="AE29" s="10"/>
      <c r="AF29" s="24">
        <v>0</v>
      </c>
      <c r="AG29" s="11">
        <v>230.04</v>
      </c>
      <c r="AH29" s="8">
        <v>174.5</v>
      </c>
      <c r="AI29" s="9">
        <v>55.54</v>
      </c>
      <c r="AJ29" s="9">
        <v>55.54</v>
      </c>
      <c r="AK29" s="10"/>
      <c r="AL29" s="11"/>
      <c r="AM29" s="8">
        <v>0</v>
      </c>
      <c r="AN29" s="9"/>
      <c r="AO29" s="9"/>
      <c r="AP29" s="10"/>
      <c r="AQ29" s="25"/>
      <c r="AR29" s="25"/>
      <c r="AS29" s="25"/>
      <c r="AT29" s="10"/>
      <c r="AU29" s="12">
        <v>230.04</v>
      </c>
      <c r="AV29" s="12"/>
      <c r="AW29" s="12"/>
      <c r="AX29" s="242"/>
      <c r="AY29" s="243"/>
      <c r="AZ29" s="242"/>
      <c r="BA29" s="242"/>
      <c r="BB29" s="244"/>
      <c r="BC29" s="243"/>
      <c r="BD29" s="243"/>
      <c r="BE29" s="242">
        <v>0</v>
      </c>
      <c r="BF29" s="242">
        <v>0</v>
      </c>
      <c r="BG29" s="242">
        <v>0</v>
      </c>
      <c r="BH29" s="242">
        <v>0</v>
      </c>
      <c r="BI29" s="242">
        <v>0</v>
      </c>
      <c r="BJ29" s="242">
        <v>0</v>
      </c>
      <c r="BK29" s="242">
        <v>0</v>
      </c>
      <c r="BL29" s="242"/>
      <c r="BM29" s="242">
        <v>2</v>
      </c>
      <c r="BN29" s="242">
        <v>0</v>
      </c>
      <c r="BO29" s="242">
        <v>0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>
        <v>0</v>
      </c>
      <c r="CE29" s="242">
        <v>174.5</v>
      </c>
      <c r="CF29" s="242">
        <v>0</v>
      </c>
      <c r="CG29" s="242">
        <v>174.5</v>
      </c>
      <c r="CH29" s="242">
        <v>0</v>
      </c>
      <c r="CI29" s="247" t="s">
        <v>633</v>
      </c>
      <c r="CJ29" s="248">
        <v>174.5</v>
      </c>
      <c r="CK29" s="248">
        <v>0</v>
      </c>
      <c r="CL29" s="248">
        <v>230.04</v>
      </c>
      <c r="CM29" s="248">
        <v>0</v>
      </c>
    </row>
    <row r="30" spans="1:91" x14ac:dyDescent="0.25">
      <c r="A30" s="231" t="s">
        <v>682</v>
      </c>
      <c r="B30" s="232" t="s">
        <v>683</v>
      </c>
      <c r="C30" s="232" t="s">
        <v>636</v>
      </c>
      <c r="D30" s="233"/>
      <c r="E30" s="234">
        <v>0</v>
      </c>
      <c r="F30" s="235">
        <v>0</v>
      </c>
      <c r="G30" s="236"/>
      <c r="H30" s="237"/>
      <c r="I30" s="238">
        <v>720.48</v>
      </c>
      <c r="J30" s="239"/>
      <c r="K30" s="240"/>
      <c r="L30" s="8">
        <v>720.48</v>
      </c>
      <c r="M30" s="241">
        <v>720.48</v>
      </c>
      <c r="N30" s="71"/>
      <c r="O30" s="100"/>
      <c r="P30" s="9"/>
      <c r="Q30" s="9"/>
      <c r="R30" s="9"/>
      <c r="S30" s="152">
        <v>45657</v>
      </c>
      <c r="T30" s="10"/>
      <c r="U30" s="23"/>
      <c r="V30" s="11"/>
      <c r="W30" s="11"/>
      <c r="X30" s="8">
        <v>720.48</v>
      </c>
      <c r="Y30" s="9"/>
      <c r="Z30" s="70">
        <v>0</v>
      </c>
      <c r="AA30" s="71"/>
      <c r="AB30" s="108"/>
      <c r="AC30" s="9"/>
      <c r="AD30" s="9"/>
      <c r="AE30" s="10"/>
      <c r="AF30" s="24">
        <v>0</v>
      </c>
      <c r="AG30" s="11">
        <v>720.48</v>
      </c>
      <c r="AH30" s="8">
        <v>720.48</v>
      </c>
      <c r="AI30" s="9">
        <v>0</v>
      </c>
      <c r="AJ30" s="9">
        <v>0</v>
      </c>
      <c r="AK30" s="10"/>
      <c r="AL30" s="11"/>
      <c r="AM30" s="8">
        <v>0</v>
      </c>
      <c r="AN30" s="9"/>
      <c r="AO30" s="9"/>
      <c r="AP30" s="10"/>
      <c r="AQ30" s="25"/>
      <c r="AR30" s="25"/>
      <c r="AS30" s="25"/>
      <c r="AT30" s="10"/>
      <c r="AU30" s="12">
        <v>720.48</v>
      </c>
      <c r="AV30" s="12"/>
      <c r="AW30" s="12"/>
      <c r="AX30" s="242"/>
      <c r="AY30" s="243"/>
      <c r="AZ30" s="242"/>
      <c r="BA30" s="242"/>
      <c r="BB30" s="244"/>
      <c r="BC30" s="243"/>
      <c r="BD30" s="243"/>
      <c r="BE30" s="242">
        <v>0</v>
      </c>
      <c r="BF30" s="242">
        <v>0</v>
      </c>
      <c r="BG30" s="242">
        <v>0</v>
      </c>
      <c r="BH30" s="242">
        <v>0</v>
      </c>
      <c r="BI30" s="242">
        <v>0</v>
      </c>
      <c r="BJ30" s="242">
        <v>0</v>
      </c>
      <c r="BK30" s="242">
        <v>0</v>
      </c>
      <c r="BL30" s="242"/>
      <c r="BM30" s="242">
        <v>2</v>
      </c>
      <c r="BN30" s="242">
        <v>0</v>
      </c>
      <c r="BO30" s="242">
        <v>0</v>
      </c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>
        <v>0</v>
      </c>
      <c r="CE30" s="242">
        <v>720.48</v>
      </c>
      <c r="CF30" s="242">
        <v>0</v>
      </c>
      <c r="CG30" s="242">
        <v>720.48</v>
      </c>
      <c r="CH30" s="242">
        <v>0</v>
      </c>
      <c r="CI30" s="247" t="s">
        <v>633</v>
      </c>
      <c r="CJ30" s="248">
        <v>720.48</v>
      </c>
      <c r="CK30" s="248">
        <v>0</v>
      </c>
      <c r="CL30" s="248">
        <v>720.48</v>
      </c>
      <c r="CM30" s="248">
        <v>0</v>
      </c>
    </row>
    <row r="31" spans="1:91" x14ac:dyDescent="0.25">
      <c r="A31" s="231" t="s">
        <v>684</v>
      </c>
      <c r="B31" s="232" t="s">
        <v>685</v>
      </c>
      <c r="C31" s="232" t="s">
        <v>636</v>
      </c>
      <c r="D31" s="233"/>
      <c r="E31" s="234">
        <v>0</v>
      </c>
      <c r="F31" s="235">
        <v>0</v>
      </c>
      <c r="G31" s="236"/>
      <c r="H31" s="237"/>
      <c r="I31" s="238">
        <v>0</v>
      </c>
      <c r="J31" s="239"/>
      <c r="K31" s="240"/>
      <c r="L31" s="8">
        <v>401638.3</v>
      </c>
      <c r="M31" s="241">
        <v>401638.3</v>
      </c>
      <c r="N31" s="71"/>
      <c r="O31" s="100"/>
      <c r="P31" s="9"/>
      <c r="Q31" s="9"/>
      <c r="R31" s="9"/>
      <c r="S31" s="152">
        <v>45657</v>
      </c>
      <c r="T31" s="10"/>
      <c r="U31" s="23"/>
      <c r="V31" s="11"/>
      <c r="W31" s="11"/>
      <c r="X31" s="8">
        <v>401638.3</v>
      </c>
      <c r="Y31" s="9"/>
      <c r="Z31" s="70">
        <v>0</v>
      </c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401638.3</v>
      </c>
      <c r="AI31" s="9">
        <v>-401638.3</v>
      </c>
      <c r="AJ31" s="9">
        <v>-401638.3</v>
      </c>
      <c r="AK31" s="10"/>
      <c r="AL31" s="11"/>
      <c r="AM31" s="8">
        <v>0</v>
      </c>
      <c r="AN31" s="9"/>
      <c r="AO31" s="9"/>
      <c r="AP31" s="10"/>
      <c r="AQ31" s="25"/>
      <c r="AR31" s="25"/>
      <c r="AS31" s="25"/>
      <c r="AT31" s="10"/>
      <c r="AU31" s="12">
        <v>0</v>
      </c>
      <c r="AV31" s="12"/>
      <c r="AW31" s="12"/>
      <c r="AX31" s="242"/>
      <c r="AY31" s="243"/>
      <c r="AZ31" s="242"/>
      <c r="BA31" s="242"/>
      <c r="BB31" s="244"/>
      <c r="BC31" s="243"/>
      <c r="BD31" s="243"/>
      <c r="BE31" s="242">
        <v>0</v>
      </c>
      <c r="BF31" s="242">
        <v>0</v>
      </c>
      <c r="BG31" s="242">
        <v>0</v>
      </c>
      <c r="BH31" s="242">
        <v>0</v>
      </c>
      <c r="BI31" s="242">
        <v>0</v>
      </c>
      <c r="BJ31" s="242">
        <v>0</v>
      </c>
      <c r="BK31" s="242">
        <v>0</v>
      </c>
      <c r="BL31" s="242"/>
      <c r="BM31" s="242">
        <v>2</v>
      </c>
      <c r="BN31" s="242">
        <v>0</v>
      </c>
      <c r="BO31" s="242">
        <v>0</v>
      </c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>
        <v>0</v>
      </c>
      <c r="CE31" s="242">
        <v>401638.3</v>
      </c>
      <c r="CF31" s="242">
        <v>0</v>
      </c>
      <c r="CG31" s="242">
        <v>401638.3</v>
      </c>
      <c r="CH31" s="242">
        <v>0</v>
      </c>
      <c r="CI31" s="247" t="s">
        <v>633</v>
      </c>
      <c r="CJ31" s="248">
        <v>401638.3</v>
      </c>
      <c r="CK31" s="248">
        <v>0</v>
      </c>
      <c r="CL31" s="248">
        <v>0</v>
      </c>
      <c r="CM31" s="248">
        <v>0</v>
      </c>
    </row>
    <row r="32" spans="1:91" x14ac:dyDescent="0.25">
      <c r="A32" s="231" t="s">
        <v>686</v>
      </c>
      <c r="B32" s="232" t="s">
        <v>687</v>
      </c>
      <c r="C32" s="232" t="s">
        <v>636</v>
      </c>
      <c r="D32" s="233"/>
      <c r="E32" s="234">
        <v>0</v>
      </c>
      <c r="F32" s="235">
        <v>0</v>
      </c>
      <c r="G32" s="236"/>
      <c r="H32" s="237"/>
      <c r="I32" s="238">
        <v>0</v>
      </c>
      <c r="J32" s="239"/>
      <c r="K32" s="240"/>
      <c r="L32" s="8">
        <v>100018.15</v>
      </c>
      <c r="M32" s="241">
        <v>100018.15</v>
      </c>
      <c r="N32" s="71"/>
      <c r="O32" s="100"/>
      <c r="P32" s="9"/>
      <c r="Q32" s="9"/>
      <c r="R32" s="9"/>
      <c r="S32" s="152">
        <v>45657</v>
      </c>
      <c r="T32" s="10"/>
      <c r="U32" s="23"/>
      <c r="V32" s="11"/>
      <c r="W32" s="11"/>
      <c r="X32" s="8">
        <v>100018.15</v>
      </c>
      <c r="Y32" s="9"/>
      <c r="Z32" s="70">
        <v>0</v>
      </c>
      <c r="AA32" s="71"/>
      <c r="AB32" s="108"/>
      <c r="AC32" s="9"/>
      <c r="AD32" s="9"/>
      <c r="AE32" s="10"/>
      <c r="AF32" s="24">
        <v>0</v>
      </c>
      <c r="AG32" s="11">
        <v>0</v>
      </c>
      <c r="AH32" s="8">
        <v>100018.15</v>
      </c>
      <c r="AI32" s="9">
        <v>-100018.15</v>
      </c>
      <c r="AJ32" s="9">
        <v>-100018.15</v>
      </c>
      <c r="AK32" s="10"/>
      <c r="AL32" s="11"/>
      <c r="AM32" s="8">
        <v>0</v>
      </c>
      <c r="AN32" s="9"/>
      <c r="AO32" s="9"/>
      <c r="AP32" s="10"/>
      <c r="AQ32" s="25"/>
      <c r="AR32" s="25"/>
      <c r="AS32" s="25"/>
      <c r="AT32" s="10"/>
      <c r="AU32" s="12">
        <v>0</v>
      </c>
      <c r="AV32" s="12"/>
      <c r="AW32" s="12"/>
      <c r="AX32" s="242"/>
      <c r="AY32" s="243"/>
      <c r="AZ32" s="242"/>
      <c r="BA32" s="242"/>
      <c r="BB32" s="244"/>
      <c r="BC32" s="243"/>
      <c r="BD32" s="243"/>
      <c r="BE32" s="242">
        <v>0</v>
      </c>
      <c r="BF32" s="242">
        <v>0</v>
      </c>
      <c r="BG32" s="242">
        <v>0</v>
      </c>
      <c r="BH32" s="242">
        <v>0</v>
      </c>
      <c r="BI32" s="242">
        <v>0</v>
      </c>
      <c r="BJ32" s="242">
        <v>0</v>
      </c>
      <c r="BK32" s="242">
        <v>0</v>
      </c>
      <c r="BL32" s="242"/>
      <c r="BM32" s="242">
        <v>2</v>
      </c>
      <c r="BN32" s="242">
        <v>0</v>
      </c>
      <c r="BO32" s="242">
        <v>0</v>
      </c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>
        <v>0</v>
      </c>
      <c r="CE32" s="242">
        <v>100018.15</v>
      </c>
      <c r="CF32" s="242">
        <v>0</v>
      </c>
      <c r="CG32" s="242">
        <v>100018.15</v>
      </c>
      <c r="CH32" s="242">
        <v>0</v>
      </c>
      <c r="CI32" s="247" t="s">
        <v>633</v>
      </c>
      <c r="CJ32" s="248">
        <v>100018.15</v>
      </c>
      <c r="CK32" s="248">
        <v>0</v>
      </c>
      <c r="CL32" s="248">
        <v>0</v>
      </c>
      <c r="CM32" s="248">
        <v>0</v>
      </c>
    </row>
    <row r="33" spans="1:91" x14ac:dyDescent="0.25">
      <c r="A33" s="231" t="s">
        <v>688</v>
      </c>
      <c r="B33" s="232" t="s">
        <v>689</v>
      </c>
      <c r="C33" s="232" t="s">
        <v>636</v>
      </c>
      <c r="D33" s="233"/>
      <c r="E33" s="234">
        <v>0</v>
      </c>
      <c r="F33" s="235">
        <v>0</v>
      </c>
      <c r="G33" s="236"/>
      <c r="H33" s="237"/>
      <c r="I33" s="238">
        <v>0</v>
      </c>
      <c r="J33" s="239"/>
      <c r="K33" s="240"/>
      <c r="L33" s="8">
        <v>4661.51</v>
      </c>
      <c r="M33" s="241">
        <v>4661.51</v>
      </c>
      <c r="N33" s="71"/>
      <c r="O33" s="100"/>
      <c r="P33" s="9"/>
      <c r="Q33" s="9"/>
      <c r="R33" s="9"/>
      <c r="S33" s="152">
        <v>45657</v>
      </c>
      <c r="T33" s="10"/>
      <c r="U33" s="23"/>
      <c r="V33" s="11"/>
      <c r="W33" s="11"/>
      <c r="X33" s="8">
        <v>4661.51</v>
      </c>
      <c r="Y33" s="9"/>
      <c r="Z33" s="70">
        <v>0</v>
      </c>
      <c r="AA33" s="71"/>
      <c r="AB33" s="108"/>
      <c r="AC33" s="9"/>
      <c r="AD33" s="9"/>
      <c r="AE33" s="10"/>
      <c r="AF33" s="24">
        <v>0</v>
      </c>
      <c r="AG33" s="11">
        <v>0</v>
      </c>
      <c r="AH33" s="8">
        <v>4661.51</v>
      </c>
      <c r="AI33" s="9">
        <v>-4661.51</v>
      </c>
      <c r="AJ33" s="9">
        <v>-4661.51</v>
      </c>
      <c r="AK33" s="10"/>
      <c r="AL33" s="11"/>
      <c r="AM33" s="8">
        <v>0</v>
      </c>
      <c r="AN33" s="9"/>
      <c r="AO33" s="9"/>
      <c r="AP33" s="10"/>
      <c r="AQ33" s="25"/>
      <c r="AR33" s="25"/>
      <c r="AS33" s="25"/>
      <c r="AT33" s="10"/>
      <c r="AU33" s="12">
        <v>0</v>
      </c>
      <c r="AV33" s="12"/>
      <c r="AW33" s="12"/>
      <c r="AX33" s="242"/>
      <c r="AY33" s="243"/>
      <c r="AZ33" s="242"/>
      <c r="BA33" s="242"/>
      <c r="BB33" s="244"/>
      <c r="BC33" s="243"/>
      <c r="BD33" s="243"/>
      <c r="BE33" s="242">
        <v>0</v>
      </c>
      <c r="BF33" s="242">
        <v>0</v>
      </c>
      <c r="BG33" s="242">
        <v>0</v>
      </c>
      <c r="BH33" s="242">
        <v>0</v>
      </c>
      <c r="BI33" s="242">
        <v>0</v>
      </c>
      <c r="BJ33" s="242">
        <v>0</v>
      </c>
      <c r="BK33" s="242">
        <v>0</v>
      </c>
      <c r="BL33" s="242"/>
      <c r="BM33" s="242">
        <v>2</v>
      </c>
      <c r="BN33" s="242">
        <v>0</v>
      </c>
      <c r="BO33" s="242">
        <v>0</v>
      </c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>
        <v>0</v>
      </c>
      <c r="CE33" s="242">
        <v>4661.51</v>
      </c>
      <c r="CF33" s="242">
        <v>0</v>
      </c>
      <c r="CG33" s="242">
        <v>4661.51</v>
      </c>
      <c r="CH33" s="242">
        <v>0</v>
      </c>
      <c r="CI33" s="247" t="s">
        <v>633</v>
      </c>
      <c r="CJ33" s="248">
        <v>4661.51</v>
      </c>
      <c r="CK33" s="248">
        <v>0</v>
      </c>
      <c r="CL33" s="248">
        <v>0</v>
      </c>
      <c r="CM33" s="248">
        <v>0</v>
      </c>
    </row>
    <row r="34" spans="1:91" x14ac:dyDescent="0.25">
      <c r="A34" s="231" t="s">
        <v>690</v>
      </c>
      <c r="B34" s="232" t="s">
        <v>691</v>
      </c>
      <c r="C34" s="232" t="s">
        <v>636</v>
      </c>
      <c r="D34" s="233"/>
      <c r="E34" s="234">
        <v>0</v>
      </c>
      <c r="F34" s="235">
        <v>0</v>
      </c>
      <c r="G34" s="236"/>
      <c r="H34" s="237"/>
      <c r="I34" s="238">
        <v>0</v>
      </c>
      <c r="J34" s="239"/>
      <c r="K34" s="240"/>
      <c r="L34" s="8">
        <v>275636.14</v>
      </c>
      <c r="M34" s="241">
        <v>275636.14</v>
      </c>
      <c r="N34" s="71"/>
      <c r="O34" s="100"/>
      <c r="P34" s="9"/>
      <c r="Q34" s="9"/>
      <c r="R34" s="9"/>
      <c r="S34" s="152">
        <v>45657</v>
      </c>
      <c r="T34" s="10"/>
      <c r="U34" s="23"/>
      <c r="V34" s="11"/>
      <c r="W34" s="11"/>
      <c r="X34" s="8">
        <v>275636.14</v>
      </c>
      <c r="Y34" s="9"/>
      <c r="Z34" s="70">
        <v>0</v>
      </c>
      <c r="AA34" s="71"/>
      <c r="AB34" s="108"/>
      <c r="AC34" s="9"/>
      <c r="AD34" s="9"/>
      <c r="AE34" s="10"/>
      <c r="AF34" s="24">
        <v>0</v>
      </c>
      <c r="AG34" s="11">
        <v>0</v>
      </c>
      <c r="AH34" s="8">
        <v>275636.14</v>
      </c>
      <c r="AI34" s="9">
        <v>-275636.14</v>
      </c>
      <c r="AJ34" s="9">
        <v>-275636.14</v>
      </c>
      <c r="AK34" s="10"/>
      <c r="AL34" s="11"/>
      <c r="AM34" s="8">
        <v>0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42"/>
      <c r="AY34" s="243"/>
      <c r="AZ34" s="242"/>
      <c r="BA34" s="242"/>
      <c r="BB34" s="244"/>
      <c r="BC34" s="243"/>
      <c r="BD34" s="243"/>
      <c r="BE34" s="242">
        <v>0</v>
      </c>
      <c r="BF34" s="242">
        <v>0</v>
      </c>
      <c r="BG34" s="242">
        <v>0</v>
      </c>
      <c r="BH34" s="242">
        <v>0</v>
      </c>
      <c r="BI34" s="242">
        <v>0</v>
      </c>
      <c r="BJ34" s="242">
        <v>0</v>
      </c>
      <c r="BK34" s="242">
        <v>0</v>
      </c>
      <c r="BL34" s="242"/>
      <c r="BM34" s="242">
        <v>2</v>
      </c>
      <c r="BN34" s="242">
        <v>0</v>
      </c>
      <c r="BO34" s="242">
        <v>0</v>
      </c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>
        <v>0</v>
      </c>
      <c r="CE34" s="242">
        <v>275636.14</v>
      </c>
      <c r="CF34" s="242">
        <v>0</v>
      </c>
      <c r="CG34" s="242">
        <v>275636.14</v>
      </c>
      <c r="CH34" s="242">
        <v>0</v>
      </c>
      <c r="CI34" s="247" t="s">
        <v>633</v>
      </c>
      <c r="CJ34" s="248">
        <v>275636.14</v>
      </c>
      <c r="CK34" s="248">
        <v>0</v>
      </c>
      <c r="CL34" s="248">
        <v>0</v>
      </c>
      <c r="CM34" s="248">
        <v>0</v>
      </c>
    </row>
    <row r="35" spans="1:91" x14ac:dyDescent="0.25">
      <c r="A35" s="231" t="s">
        <v>692</v>
      </c>
      <c r="B35" s="232" t="s">
        <v>693</v>
      </c>
      <c r="C35" s="232" t="s">
        <v>636</v>
      </c>
      <c r="D35" s="233"/>
      <c r="E35" s="234">
        <v>0</v>
      </c>
      <c r="F35" s="235">
        <v>0</v>
      </c>
      <c r="G35" s="236"/>
      <c r="H35" s="237"/>
      <c r="I35" s="238">
        <v>0</v>
      </c>
      <c r="J35" s="239"/>
      <c r="K35" s="240"/>
      <c r="L35" s="8">
        <v>29408.39</v>
      </c>
      <c r="M35" s="241">
        <v>29408.39</v>
      </c>
      <c r="N35" s="71"/>
      <c r="O35" s="100"/>
      <c r="P35" s="9"/>
      <c r="Q35" s="9"/>
      <c r="R35" s="9"/>
      <c r="S35" s="152">
        <v>45657</v>
      </c>
      <c r="T35" s="10"/>
      <c r="U35" s="23"/>
      <c r="V35" s="11"/>
      <c r="W35" s="11"/>
      <c r="X35" s="8">
        <v>29408.39</v>
      </c>
      <c r="Y35" s="9"/>
      <c r="Z35" s="70">
        <v>0</v>
      </c>
      <c r="AA35" s="71"/>
      <c r="AB35" s="108"/>
      <c r="AC35" s="9"/>
      <c r="AD35" s="9"/>
      <c r="AE35" s="10"/>
      <c r="AF35" s="24">
        <v>0</v>
      </c>
      <c r="AG35" s="11">
        <v>0</v>
      </c>
      <c r="AH35" s="8">
        <v>29408.39</v>
      </c>
      <c r="AI35" s="9">
        <v>-29408.39</v>
      </c>
      <c r="AJ35" s="9">
        <v>-29408.39</v>
      </c>
      <c r="AK35" s="10"/>
      <c r="AL35" s="11"/>
      <c r="AM35" s="8">
        <v>0</v>
      </c>
      <c r="AN35" s="9"/>
      <c r="AO35" s="9"/>
      <c r="AP35" s="10"/>
      <c r="AQ35" s="25"/>
      <c r="AR35" s="25"/>
      <c r="AS35" s="25"/>
      <c r="AT35" s="10"/>
      <c r="AU35" s="12">
        <v>0</v>
      </c>
      <c r="AV35" s="12"/>
      <c r="AW35" s="12"/>
      <c r="AX35" s="242"/>
      <c r="AY35" s="243"/>
      <c r="AZ35" s="242"/>
      <c r="BA35" s="242"/>
      <c r="BB35" s="244"/>
      <c r="BC35" s="243"/>
      <c r="BD35" s="243"/>
      <c r="BE35" s="242">
        <v>0</v>
      </c>
      <c r="BF35" s="242">
        <v>0</v>
      </c>
      <c r="BG35" s="242">
        <v>0</v>
      </c>
      <c r="BH35" s="242">
        <v>0</v>
      </c>
      <c r="BI35" s="242">
        <v>0</v>
      </c>
      <c r="BJ35" s="242">
        <v>0</v>
      </c>
      <c r="BK35" s="242">
        <v>0</v>
      </c>
      <c r="BL35" s="242"/>
      <c r="BM35" s="242">
        <v>2</v>
      </c>
      <c r="BN35" s="242">
        <v>0</v>
      </c>
      <c r="BO35" s="242">
        <v>0</v>
      </c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>
        <v>0</v>
      </c>
      <c r="CE35" s="242">
        <v>29408.39</v>
      </c>
      <c r="CF35" s="242">
        <v>0</v>
      </c>
      <c r="CG35" s="242">
        <v>29408.39</v>
      </c>
      <c r="CH35" s="242">
        <v>0</v>
      </c>
      <c r="CI35" s="247" t="s">
        <v>633</v>
      </c>
      <c r="CJ35" s="248">
        <v>29408.39</v>
      </c>
      <c r="CK35" s="248">
        <v>0</v>
      </c>
      <c r="CL35" s="248">
        <v>0</v>
      </c>
      <c r="CM35" s="248">
        <v>0</v>
      </c>
    </row>
    <row r="36" spans="1:91" x14ac:dyDescent="0.25">
      <c r="A36" s="231" t="s">
        <v>694</v>
      </c>
      <c r="B36" s="232" t="s">
        <v>695</v>
      </c>
      <c r="C36" s="232" t="s">
        <v>636</v>
      </c>
      <c r="D36" s="233"/>
      <c r="E36" s="234">
        <v>0</v>
      </c>
      <c r="F36" s="235">
        <v>0</v>
      </c>
      <c r="G36" s="236"/>
      <c r="H36" s="237"/>
      <c r="I36" s="238">
        <v>0</v>
      </c>
      <c r="J36" s="239"/>
      <c r="K36" s="240"/>
      <c r="L36" s="8">
        <v>417362.06</v>
      </c>
      <c r="M36" s="241">
        <v>417362.06</v>
      </c>
      <c r="N36" s="71"/>
      <c r="O36" s="100"/>
      <c r="P36" s="9"/>
      <c r="Q36" s="9">
        <v>-358368.19</v>
      </c>
      <c r="R36" s="9"/>
      <c r="S36" s="152">
        <v>46022</v>
      </c>
      <c r="T36" s="10"/>
      <c r="U36" s="23"/>
      <c r="V36" s="11"/>
      <c r="W36" s="11"/>
      <c r="X36" s="8">
        <v>417362.06</v>
      </c>
      <c r="Y36" s="9"/>
      <c r="Z36" s="70">
        <v>-417362.06</v>
      </c>
      <c r="AA36" s="71"/>
      <c r="AB36" s="108"/>
      <c r="AC36" s="9">
        <v>-358368.19</v>
      </c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417362.06</v>
      </c>
      <c r="AN36" s="9"/>
      <c r="AO36" s="9"/>
      <c r="AP36" s="10"/>
      <c r="AQ36" s="25"/>
      <c r="AR36" s="25"/>
      <c r="AS36" s="25"/>
      <c r="AT36" s="10"/>
      <c r="AU36" s="12">
        <v>0</v>
      </c>
      <c r="AV36" s="12"/>
      <c r="AW36" s="12"/>
      <c r="AX36" s="242"/>
      <c r="AY36" s="243"/>
      <c r="AZ36" s="242"/>
      <c r="BA36" s="242"/>
      <c r="BB36" s="244"/>
      <c r="BC36" s="243" t="s">
        <v>630</v>
      </c>
      <c r="BD36" s="243" t="s">
        <v>630</v>
      </c>
      <c r="BE36" s="242">
        <v>0</v>
      </c>
      <c r="BF36" s="15">
        <v>417362.06</v>
      </c>
      <c r="BG36" s="15">
        <v>-417362.06</v>
      </c>
      <c r="BH36" s="15">
        <v>0</v>
      </c>
      <c r="BI36" s="15">
        <v>417362.06</v>
      </c>
      <c r="BJ36" s="242">
        <v>0</v>
      </c>
      <c r="BK36" s="242">
        <v>-358368.19</v>
      </c>
      <c r="BL36" s="242"/>
      <c r="BM36" s="242">
        <v>2</v>
      </c>
      <c r="BN36" s="242">
        <v>-358368.19</v>
      </c>
      <c r="BO36" s="242">
        <v>0</v>
      </c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94">
        <v>-417362.06</v>
      </c>
      <c r="CC36" s="246" t="s">
        <v>634</v>
      </c>
      <c r="CD36" s="242">
        <v>0</v>
      </c>
      <c r="CE36" s="242">
        <v>0</v>
      </c>
      <c r="CF36" s="242">
        <v>0</v>
      </c>
      <c r="CG36" s="242">
        <v>0</v>
      </c>
      <c r="CH36" s="242">
        <v>0</v>
      </c>
      <c r="CI36" s="247" t="s">
        <v>633</v>
      </c>
      <c r="CJ36" s="248">
        <v>417362.06</v>
      </c>
      <c r="CK36" s="248">
        <v>417362.06</v>
      </c>
      <c r="CL36" s="248">
        <v>0</v>
      </c>
      <c r="CM36" s="248">
        <v>0</v>
      </c>
    </row>
    <row r="37" spans="1:91" x14ac:dyDescent="0.25">
      <c r="A37" s="231" t="s">
        <v>696</v>
      </c>
      <c r="B37" s="232" t="s">
        <v>697</v>
      </c>
      <c r="C37" s="232" t="s">
        <v>636</v>
      </c>
      <c r="D37" s="233"/>
      <c r="E37" s="234">
        <v>0</v>
      </c>
      <c r="F37" s="235">
        <v>0</v>
      </c>
      <c r="G37" s="236"/>
      <c r="H37" s="237"/>
      <c r="I37" s="238">
        <v>0</v>
      </c>
      <c r="J37" s="239"/>
      <c r="K37" s="240"/>
      <c r="L37" s="8">
        <v>136442.70000000001</v>
      </c>
      <c r="M37" s="241">
        <v>136442.70000000001</v>
      </c>
      <c r="N37" s="71"/>
      <c r="O37" s="100"/>
      <c r="P37" s="9"/>
      <c r="Q37" s="9">
        <v>-117566.78</v>
      </c>
      <c r="R37" s="9"/>
      <c r="S37" s="152">
        <v>46022</v>
      </c>
      <c r="T37" s="10"/>
      <c r="U37" s="23"/>
      <c r="V37" s="11"/>
      <c r="W37" s="11"/>
      <c r="X37" s="8">
        <v>136442.70000000001</v>
      </c>
      <c r="Y37" s="9"/>
      <c r="Z37" s="70">
        <v>-136442.70000000001</v>
      </c>
      <c r="AA37" s="71"/>
      <c r="AB37" s="108"/>
      <c r="AC37" s="9">
        <v>-117566.78</v>
      </c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136442.70000000001</v>
      </c>
      <c r="AN37" s="9"/>
      <c r="AO37" s="9"/>
      <c r="AP37" s="10"/>
      <c r="AQ37" s="25"/>
      <c r="AR37" s="25"/>
      <c r="AS37" s="25"/>
      <c r="AT37" s="10"/>
      <c r="AU37" s="12">
        <v>0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242">
        <v>0</v>
      </c>
      <c r="BF37" s="15">
        <v>136442.70000000001</v>
      </c>
      <c r="BG37" s="15">
        <v>-136442.70000000001</v>
      </c>
      <c r="BH37" s="15">
        <v>0</v>
      </c>
      <c r="BI37" s="15">
        <v>136442.70000000001</v>
      </c>
      <c r="BJ37" s="242">
        <v>0</v>
      </c>
      <c r="BK37" s="242">
        <v>-117566.78</v>
      </c>
      <c r="BL37" s="242"/>
      <c r="BM37" s="242">
        <v>2</v>
      </c>
      <c r="BN37" s="242">
        <v>-117566.78</v>
      </c>
      <c r="BO37" s="242">
        <v>0</v>
      </c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94">
        <v>-136442.70000000001</v>
      </c>
      <c r="CC37" s="246" t="s">
        <v>634</v>
      </c>
      <c r="CD37" s="242">
        <v>0</v>
      </c>
      <c r="CE37" s="242">
        <v>0</v>
      </c>
      <c r="CF37" s="242">
        <v>0</v>
      </c>
      <c r="CG37" s="242">
        <v>0</v>
      </c>
      <c r="CH37" s="242">
        <v>0</v>
      </c>
      <c r="CI37" s="247" t="s">
        <v>633</v>
      </c>
      <c r="CJ37" s="248">
        <v>136442.70000000001</v>
      </c>
      <c r="CK37" s="248">
        <v>136442.70000000001</v>
      </c>
      <c r="CL37" s="248">
        <v>0</v>
      </c>
      <c r="CM37" s="248">
        <v>0</v>
      </c>
    </row>
    <row r="38" spans="1:91" x14ac:dyDescent="0.25">
      <c r="A38" s="231" t="s">
        <v>698</v>
      </c>
      <c r="B38" s="232" t="s">
        <v>699</v>
      </c>
      <c r="C38" s="232" t="s">
        <v>636</v>
      </c>
      <c r="D38" s="233"/>
      <c r="E38" s="234">
        <v>0</v>
      </c>
      <c r="F38" s="235">
        <v>0</v>
      </c>
      <c r="G38" s="236"/>
      <c r="H38" s="237"/>
      <c r="I38" s="238">
        <v>0</v>
      </c>
      <c r="J38" s="239"/>
      <c r="K38" s="240"/>
      <c r="L38" s="8">
        <v>4786.46</v>
      </c>
      <c r="M38" s="241">
        <v>4786.46</v>
      </c>
      <c r="N38" s="71"/>
      <c r="O38" s="100"/>
      <c r="P38" s="9"/>
      <c r="Q38" s="9">
        <v>-4786.46</v>
      </c>
      <c r="R38" s="9"/>
      <c r="S38" s="152">
        <v>46022</v>
      </c>
      <c r="T38" s="10"/>
      <c r="U38" s="23"/>
      <c r="V38" s="11"/>
      <c r="W38" s="11"/>
      <c r="X38" s="8">
        <v>4786.46</v>
      </c>
      <c r="Y38" s="9"/>
      <c r="Z38" s="70">
        <v>-4786.46</v>
      </c>
      <c r="AA38" s="71"/>
      <c r="AB38" s="108"/>
      <c r="AC38" s="9">
        <v>-4786.46</v>
      </c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4786.46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42"/>
      <c r="AY38" s="243"/>
      <c r="AZ38" s="242"/>
      <c r="BA38" s="242"/>
      <c r="BB38" s="244"/>
      <c r="BC38" s="243" t="s">
        <v>630</v>
      </c>
      <c r="BD38" s="243" t="s">
        <v>630</v>
      </c>
      <c r="BE38" s="242">
        <v>0</v>
      </c>
      <c r="BF38" s="15">
        <v>4786.46</v>
      </c>
      <c r="BG38" s="15">
        <v>-4786.46</v>
      </c>
      <c r="BH38" s="15">
        <v>0</v>
      </c>
      <c r="BI38" s="15">
        <v>4786.46</v>
      </c>
      <c r="BJ38" s="242">
        <v>0</v>
      </c>
      <c r="BK38" s="242">
        <v>-4786.46</v>
      </c>
      <c r="BL38" s="242"/>
      <c r="BM38" s="242">
        <v>2</v>
      </c>
      <c r="BN38" s="242">
        <v>-4786.46</v>
      </c>
      <c r="BO38" s="242">
        <v>0</v>
      </c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94">
        <v>-4786.46</v>
      </c>
      <c r="CC38" s="246" t="s">
        <v>634</v>
      </c>
      <c r="CD38" s="242">
        <v>0</v>
      </c>
      <c r="CE38" s="242">
        <v>0</v>
      </c>
      <c r="CF38" s="242">
        <v>0</v>
      </c>
      <c r="CG38" s="242">
        <v>0</v>
      </c>
      <c r="CH38" s="242">
        <v>0</v>
      </c>
      <c r="CI38" s="247" t="s">
        <v>633</v>
      </c>
      <c r="CJ38" s="248">
        <v>4786.46</v>
      </c>
      <c r="CK38" s="248">
        <v>4786.46</v>
      </c>
      <c r="CL38" s="248">
        <v>0</v>
      </c>
      <c r="CM38" s="248">
        <v>0</v>
      </c>
    </row>
    <row r="39" spans="1:91" x14ac:dyDescent="0.25">
      <c r="A39" s="231" t="s">
        <v>700</v>
      </c>
      <c r="B39" s="232" t="s">
        <v>701</v>
      </c>
      <c r="C39" s="232" t="s">
        <v>636</v>
      </c>
      <c r="D39" s="233"/>
      <c r="E39" s="234">
        <v>0</v>
      </c>
      <c r="F39" s="235">
        <v>0</v>
      </c>
      <c r="G39" s="236"/>
      <c r="H39" s="237"/>
      <c r="I39" s="238">
        <v>0</v>
      </c>
      <c r="J39" s="239"/>
      <c r="K39" s="240"/>
      <c r="L39" s="8">
        <v>7603.98</v>
      </c>
      <c r="M39" s="241">
        <v>7603.98</v>
      </c>
      <c r="N39" s="71"/>
      <c r="O39" s="100"/>
      <c r="P39" s="9"/>
      <c r="Q39" s="9">
        <v>-7603.98</v>
      </c>
      <c r="R39" s="9"/>
      <c r="S39" s="152">
        <v>46022</v>
      </c>
      <c r="T39" s="10"/>
      <c r="U39" s="23"/>
      <c r="V39" s="11"/>
      <c r="W39" s="11"/>
      <c r="X39" s="8">
        <v>7603.98</v>
      </c>
      <c r="Y39" s="9"/>
      <c r="Z39" s="70">
        <v>-7603.98</v>
      </c>
      <c r="AA39" s="71"/>
      <c r="AB39" s="108"/>
      <c r="AC39" s="9">
        <v>-7603.98</v>
      </c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7603.98</v>
      </c>
      <c r="AN39" s="9"/>
      <c r="AO39" s="9"/>
      <c r="AP39" s="10"/>
      <c r="AQ39" s="25"/>
      <c r="AR39" s="25"/>
      <c r="AS39" s="25"/>
      <c r="AT39" s="10"/>
      <c r="AU39" s="12">
        <v>0</v>
      </c>
      <c r="AV39" s="12"/>
      <c r="AW39" s="12"/>
      <c r="AX39" s="242"/>
      <c r="AY39" s="243"/>
      <c r="AZ39" s="242"/>
      <c r="BA39" s="242"/>
      <c r="BB39" s="244"/>
      <c r="BC39" s="243" t="s">
        <v>630</v>
      </c>
      <c r="BD39" s="243" t="s">
        <v>630</v>
      </c>
      <c r="BE39" s="242">
        <v>0</v>
      </c>
      <c r="BF39" s="15">
        <v>7603.98</v>
      </c>
      <c r="BG39" s="15">
        <v>-7603.98</v>
      </c>
      <c r="BH39" s="15">
        <v>0</v>
      </c>
      <c r="BI39" s="15">
        <v>7603.98</v>
      </c>
      <c r="BJ39" s="242">
        <v>0</v>
      </c>
      <c r="BK39" s="242">
        <v>-7603.98</v>
      </c>
      <c r="BL39" s="242"/>
      <c r="BM39" s="242">
        <v>2</v>
      </c>
      <c r="BN39" s="242">
        <v>-7603.98</v>
      </c>
      <c r="BO39" s="242">
        <v>0</v>
      </c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94">
        <v>-7603.98</v>
      </c>
      <c r="CC39" s="246" t="s">
        <v>634</v>
      </c>
      <c r="CD39" s="242">
        <v>0</v>
      </c>
      <c r="CE39" s="242">
        <v>0</v>
      </c>
      <c r="CF39" s="242">
        <v>0</v>
      </c>
      <c r="CG39" s="242">
        <v>0</v>
      </c>
      <c r="CH39" s="242">
        <v>0</v>
      </c>
      <c r="CI39" s="247" t="s">
        <v>633</v>
      </c>
      <c r="CJ39" s="248">
        <v>7603.98</v>
      </c>
      <c r="CK39" s="248">
        <v>7603.98</v>
      </c>
      <c r="CL39" s="248">
        <v>0</v>
      </c>
      <c r="CM39" s="248">
        <v>0</v>
      </c>
    </row>
    <row r="40" spans="1:91" x14ac:dyDescent="0.25">
      <c r="A40" s="231" t="s">
        <v>702</v>
      </c>
      <c r="B40" s="232" t="s">
        <v>703</v>
      </c>
      <c r="C40" s="232" t="s">
        <v>636</v>
      </c>
      <c r="D40" s="233"/>
      <c r="E40" s="234">
        <v>0</v>
      </c>
      <c r="F40" s="235">
        <v>0</v>
      </c>
      <c r="G40" s="236"/>
      <c r="H40" s="237"/>
      <c r="I40" s="238">
        <v>0</v>
      </c>
      <c r="J40" s="239"/>
      <c r="K40" s="240"/>
      <c r="L40" s="8">
        <v>345355.21</v>
      </c>
      <c r="M40" s="241">
        <v>345355.21</v>
      </c>
      <c r="N40" s="71"/>
      <c r="O40" s="100"/>
      <c r="P40" s="9"/>
      <c r="Q40" s="9">
        <v>-304722.82</v>
      </c>
      <c r="R40" s="9"/>
      <c r="S40" s="152">
        <v>46022</v>
      </c>
      <c r="T40" s="10"/>
      <c r="U40" s="23"/>
      <c r="V40" s="11"/>
      <c r="W40" s="11"/>
      <c r="X40" s="8">
        <v>345355.21</v>
      </c>
      <c r="Y40" s="9"/>
      <c r="Z40" s="70">
        <v>-345355.21</v>
      </c>
      <c r="AA40" s="71"/>
      <c r="AB40" s="108"/>
      <c r="AC40" s="9">
        <v>-304722.82</v>
      </c>
      <c r="AD40" s="9"/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/>
      <c r="AM40" s="8">
        <v>345355.21</v>
      </c>
      <c r="AN40" s="9"/>
      <c r="AO40" s="9"/>
      <c r="AP40" s="10"/>
      <c r="AQ40" s="25"/>
      <c r="AR40" s="25"/>
      <c r="AS40" s="25"/>
      <c r="AT40" s="10"/>
      <c r="AU40" s="12">
        <v>0</v>
      </c>
      <c r="AV40" s="12"/>
      <c r="AW40" s="12"/>
      <c r="AX40" s="242"/>
      <c r="AY40" s="243"/>
      <c r="AZ40" s="242"/>
      <c r="BA40" s="242"/>
      <c r="BB40" s="244"/>
      <c r="BC40" s="243" t="s">
        <v>630</v>
      </c>
      <c r="BD40" s="243" t="s">
        <v>630</v>
      </c>
      <c r="BE40" s="242">
        <v>0</v>
      </c>
      <c r="BF40" s="15">
        <v>345355.21</v>
      </c>
      <c r="BG40" s="15">
        <v>-345355.21</v>
      </c>
      <c r="BH40" s="15">
        <v>0</v>
      </c>
      <c r="BI40" s="15">
        <v>345355.21</v>
      </c>
      <c r="BJ40" s="242">
        <v>0</v>
      </c>
      <c r="BK40" s="242">
        <v>-304722.82</v>
      </c>
      <c r="BL40" s="242"/>
      <c r="BM40" s="242">
        <v>2</v>
      </c>
      <c r="BN40" s="242">
        <v>-304722.82</v>
      </c>
      <c r="BO40" s="242">
        <v>0</v>
      </c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94">
        <v>-345355.21</v>
      </c>
      <c r="CC40" s="246" t="s">
        <v>634</v>
      </c>
      <c r="CD40" s="242">
        <v>0</v>
      </c>
      <c r="CE40" s="242">
        <v>0</v>
      </c>
      <c r="CF40" s="242">
        <v>0</v>
      </c>
      <c r="CG40" s="242">
        <v>0</v>
      </c>
      <c r="CH40" s="242">
        <v>0</v>
      </c>
      <c r="CI40" s="247" t="s">
        <v>633</v>
      </c>
      <c r="CJ40" s="248">
        <v>345355.21</v>
      </c>
      <c r="CK40" s="248">
        <v>345355.21</v>
      </c>
      <c r="CL40" s="248">
        <v>0</v>
      </c>
      <c r="CM40" s="248">
        <v>0</v>
      </c>
    </row>
    <row r="41" spans="1:91" x14ac:dyDescent="0.25">
      <c r="A41" s="231" t="s">
        <v>704</v>
      </c>
      <c r="B41" s="232" t="s">
        <v>705</v>
      </c>
      <c r="C41" s="232" t="s">
        <v>636</v>
      </c>
      <c r="D41" s="233"/>
      <c r="E41" s="234">
        <v>0</v>
      </c>
      <c r="F41" s="235">
        <v>0</v>
      </c>
      <c r="G41" s="236"/>
      <c r="H41" s="237"/>
      <c r="I41" s="238">
        <v>0</v>
      </c>
      <c r="J41" s="239"/>
      <c r="K41" s="240"/>
      <c r="L41" s="8">
        <v>28346.720000000001</v>
      </c>
      <c r="M41" s="241">
        <v>28346.720000000001</v>
      </c>
      <c r="N41" s="71"/>
      <c r="O41" s="100"/>
      <c r="P41" s="9"/>
      <c r="Q41" s="9">
        <v>-26579.4</v>
      </c>
      <c r="R41" s="9"/>
      <c r="S41" s="152">
        <v>46022</v>
      </c>
      <c r="T41" s="10"/>
      <c r="U41" s="23"/>
      <c r="V41" s="11"/>
      <c r="W41" s="11"/>
      <c r="X41" s="8">
        <v>28346.720000000001</v>
      </c>
      <c r="Y41" s="9"/>
      <c r="Z41" s="70">
        <v>-28346.720000000001</v>
      </c>
      <c r="AA41" s="71"/>
      <c r="AB41" s="108"/>
      <c r="AC41" s="9">
        <v>-26579.4</v>
      </c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28346.720000000001</v>
      </c>
      <c r="AN41" s="9"/>
      <c r="AO41" s="9"/>
      <c r="AP41" s="10"/>
      <c r="AQ41" s="25"/>
      <c r="AR41" s="25"/>
      <c r="AS41" s="25"/>
      <c r="AT41" s="10"/>
      <c r="AU41" s="12">
        <v>0</v>
      </c>
      <c r="AV41" s="12"/>
      <c r="AW41" s="12"/>
      <c r="AX41" s="242"/>
      <c r="AY41" s="243"/>
      <c r="AZ41" s="242"/>
      <c r="BA41" s="242"/>
      <c r="BB41" s="244"/>
      <c r="BC41" s="243" t="s">
        <v>630</v>
      </c>
      <c r="BD41" s="243" t="s">
        <v>630</v>
      </c>
      <c r="BE41" s="242">
        <v>0</v>
      </c>
      <c r="BF41" s="15">
        <v>28346.720000000001</v>
      </c>
      <c r="BG41" s="15">
        <v>-28346.720000000001</v>
      </c>
      <c r="BH41" s="15">
        <v>0</v>
      </c>
      <c r="BI41" s="15">
        <v>28346.720000000001</v>
      </c>
      <c r="BJ41" s="242">
        <v>0</v>
      </c>
      <c r="BK41" s="242">
        <v>-26579.4</v>
      </c>
      <c r="BL41" s="242"/>
      <c r="BM41" s="242">
        <v>2</v>
      </c>
      <c r="BN41" s="242">
        <v>-26579.4</v>
      </c>
      <c r="BO41" s="242">
        <v>0</v>
      </c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94">
        <v>-28346.720000000001</v>
      </c>
      <c r="CC41" s="246" t="s">
        <v>634</v>
      </c>
      <c r="CD41" s="242">
        <v>0</v>
      </c>
      <c r="CE41" s="242">
        <v>0</v>
      </c>
      <c r="CF41" s="242">
        <v>0</v>
      </c>
      <c r="CG41" s="242">
        <v>0</v>
      </c>
      <c r="CH41" s="242">
        <v>0</v>
      </c>
      <c r="CI41" s="247" t="s">
        <v>633</v>
      </c>
      <c r="CJ41" s="248">
        <v>28346.720000000001</v>
      </c>
      <c r="CK41" s="248">
        <v>28346.720000000001</v>
      </c>
      <c r="CL41" s="248">
        <v>0</v>
      </c>
      <c r="CM41" s="248">
        <v>0</v>
      </c>
    </row>
    <row r="42" spans="1:91" x14ac:dyDescent="0.25">
      <c r="A42" s="231" t="s">
        <v>706</v>
      </c>
      <c r="B42" s="232" t="s">
        <v>707</v>
      </c>
      <c r="C42" s="232" t="s">
        <v>636</v>
      </c>
      <c r="D42" s="233"/>
      <c r="E42" s="234">
        <v>5362640.13</v>
      </c>
      <c r="F42" s="235">
        <v>5362640.13</v>
      </c>
      <c r="G42" s="236"/>
      <c r="H42" s="237"/>
      <c r="I42" s="238">
        <v>5362640.13</v>
      </c>
      <c r="J42" s="239"/>
      <c r="K42" s="240"/>
      <c r="L42" s="8">
        <v>4887847.41</v>
      </c>
      <c r="M42" s="241">
        <v>4889304.4800000004</v>
      </c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>
        <v>4889304.4800000004</v>
      </c>
      <c r="Y42" s="9"/>
      <c r="Z42" s="70">
        <v>0</v>
      </c>
      <c r="AA42" s="71"/>
      <c r="AB42" s="108"/>
      <c r="AC42" s="9"/>
      <c r="AD42" s="9"/>
      <c r="AE42" s="10"/>
      <c r="AF42" s="24">
        <v>0</v>
      </c>
      <c r="AG42" s="11">
        <v>4889304.4800000004</v>
      </c>
      <c r="AH42" s="8">
        <v>4889304.4800000004</v>
      </c>
      <c r="AI42" s="9">
        <v>-4889304.4800000004</v>
      </c>
      <c r="AJ42" s="9">
        <v>0</v>
      </c>
      <c r="AK42" s="10"/>
      <c r="AL42" s="11"/>
      <c r="AM42" s="8">
        <v>0</v>
      </c>
      <c r="AN42" s="9"/>
      <c r="AO42" s="9"/>
      <c r="AP42" s="10"/>
      <c r="AQ42" s="25"/>
      <c r="AR42" s="25"/>
      <c r="AS42" s="25"/>
      <c r="AT42" s="10"/>
      <c r="AU42" s="12">
        <v>5362640.1399999997</v>
      </c>
      <c r="AV42" s="12"/>
      <c r="AW42" s="12"/>
      <c r="AX42" s="242"/>
      <c r="AY42" s="243"/>
      <c r="AZ42" s="242"/>
      <c r="BA42" s="242"/>
      <c r="BB42" s="244"/>
      <c r="BC42" s="243"/>
      <c r="BD42" s="243"/>
      <c r="BE42" s="242">
        <v>0</v>
      </c>
      <c r="BF42" s="242">
        <v>0</v>
      </c>
      <c r="BG42" s="242">
        <v>0</v>
      </c>
      <c r="BH42" s="242">
        <v>0</v>
      </c>
      <c r="BI42" s="242">
        <v>0</v>
      </c>
      <c r="BJ42" s="242">
        <v>0</v>
      </c>
      <c r="BK42" s="242">
        <v>0</v>
      </c>
      <c r="BL42" s="242"/>
      <c r="BM42" s="242">
        <v>2</v>
      </c>
      <c r="BN42" s="242">
        <v>0</v>
      </c>
      <c r="BO42" s="242">
        <v>0</v>
      </c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>
        <v>0</v>
      </c>
      <c r="CE42" s="242">
        <v>4889304.4800000004</v>
      </c>
      <c r="CF42" s="242">
        <v>0</v>
      </c>
      <c r="CG42" s="242">
        <v>4889304.4800000004</v>
      </c>
      <c r="CH42" s="242">
        <v>0</v>
      </c>
      <c r="CI42" s="247" t="s">
        <v>633</v>
      </c>
      <c r="CJ42" s="248">
        <v>4889304.4800000004</v>
      </c>
      <c r="CK42" s="248">
        <v>0</v>
      </c>
      <c r="CL42" s="248">
        <v>5362640.1399999997</v>
      </c>
      <c r="CM42" s="248">
        <v>0</v>
      </c>
    </row>
    <row r="43" spans="1:91" x14ac:dyDescent="0.25">
      <c r="A43" s="231" t="s">
        <v>708</v>
      </c>
      <c r="B43" s="232" t="s">
        <v>709</v>
      </c>
      <c r="C43" s="232" t="s">
        <v>636</v>
      </c>
      <c r="D43" s="233"/>
      <c r="E43" s="234">
        <v>700348.29</v>
      </c>
      <c r="F43" s="235">
        <v>700348.29</v>
      </c>
      <c r="G43" s="236"/>
      <c r="H43" s="237"/>
      <c r="I43" s="238">
        <v>700348.29</v>
      </c>
      <c r="J43" s="239"/>
      <c r="K43" s="240"/>
      <c r="L43" s="8">
        <v>643930.43000000005</v>
      </c>
      <c r="M43" s="241">
        <v>643930.43000000005</v>
      </c>
      <c r="N43" s="71"/>
      <c r="O43" s="100"/>
      <c r="P43" s="9"/>
      <c r="Q43" s="9"/>
      <c r="R43" s="9"/>
      <c r="S43" s="152">
        <v>45744</v>
      </c>
      <c r="T43" s="10"/>
      <c r="U43" s="23"/>
      <c r="V43" s="11"/>
      <c r="W43" s="11"/>
      <c r="X43" s="8">
        <v>643731.93000000005</v>
      </c>
      <c r="Y43" s="9"/>
      <c r="Z43" s="70">
        <v>0</v>
      </c>
      <c r="AA43" s="71"/>
      <c r="AB43" s="108"/>
      <c r="AC43" s="9"/>
      <c r="AD43" s="9"/>
      <c r="AE43" s="10"/>
      <c r="AF43" s="24">
        <v>0</v>
      </c>
      <c r="AG43" s="11">
        <v>696901.06</v>
      </c>
      <c r="AH43" s="8">
        <v>643731.93000000005</v>
      </c>
      <c r="AI43" s="9">
        <v>53169.13</v>
      </c>
      <c r="AJ43" s="9">
        <v>53169.13</v>
      </c>
      <c r="AK43" s="10"/>
      <c r="AL43" s="11"/>
      <c r="AM43" s="8">
        <v>0</v>
      </c>
      <c r="AN43" s="9"/>
      <c r="AO43" s="9"/>
      <c r="AP43" s="10"/>
      <c r="AQ43" s="25"/>
      <c r="AR43" s="25"/>
      <c r="AS43" s="25"/>
      <c r="AT43" s="10"/>
      <c r="AU43" s="12">
        <v>696901.06</v>
      </c>
      <c r="AV43" s="12"/>
      <c r="AW43" s="12"/>
      <c r="AX43" s="242"/>
      <c r="AY43" s="243"/>
      <c r="AZ43" s="242"/>
      <c r="BA43" s="242"/>
      <c r="BB43" s="244"/>
      <c r="BC43" s="243"/>
      <c r="BD43" s="243"/>
      <c r="BE43" s="242">
        <v>0</v>
      </c>
      <c r="BF43" s="242">
        <v>0</v>
      </c>
      <c r="BG43" s="242">
        <v>0</v>
      </c>
      <c r="BH43" s="242">
        <v>0</v>
      </c>
      <c r="BI43" s="242">
        <v>0</v>
      </c>
      <c r="BJ43" s="242">
        <v>0</v>
      </c>
      <c r="BK43" s="242">
        <v>0</v>
      </c>
      <c r="BL43" s="242"/>
      <c r="BM43" s="242">
        <v>2</v>
      </c>
      <c r="BN43" s="242">
        <v>0</v>
      </c>
      <c r="BO43" s="242">
        <v>0</v>
      </c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>
        <v>0</v>
      </c>
      <c r="CE43" s="242">
        <v>643731.93000000005</v>
      </c>
      <c r="CF43" s="242">
        <v>0</v>
      </c>
      <c r="CG43" s="242">
        <v>643731.93000000005</v>
      </c>
      <c r="CH43" s="242">
        <v>0</v>
      </c>
      <c r="CI43" s="247" t="s">
        <v>633</v>
      </c>
      <c r="CJ43" s="248">
        <v>643731.93000000005</v>
      </c>
      <c r="CK43" s="248">
        <v>0</v>
      </c>
      <c r="CL43" s="248">
        <v>696901.06</v>
      </c>
      <c r="CM43" s="248">
        <v>0</v>
      </c>
    </row>
    <row r="44" spans="1:91" x14ac:dyDescent="0.25">
      <c r="A44" s="231" t="s">
        <v>710</v>
      </c>
      <c r="B44" s="232" t="s">
        <v>711</v>
      </c>
      <c r="C44" s="232" t="s">
        <v>636</v>
      </c>
      <c r="D44" s="233"/>
      <c r="E44" s="234">
        <v>824806.99</v>
      </c>
      <c r="F44" s="235">
        <v>824806.99</v>
      </c>
      <c r="G44" s="236"/>
      <c r="H44" s="237"/>
      <c r="I44" s="238">
        <v>824806.99</v>
      </c>
      <c r="J44" s="239"/>
      <c r="K44" s="240"/>
      <c r="L44" s="8">
        <v>793895.93</v>
      </c>
      <c r="M44" s="241">
        <v>793895.93</v>
      </c>
      <c r="N44" s="71"/>
      <c r="O44" s="100"/>
      <c r="P44" s="9"/>
      <c r="Q44" s="9"/>
      <c r="R44" s="9"/>
      <c r="S44" s="152">
        <v>45657</v>
      </c>
      <c r="T44" s="10"/>
      <c r="U44" s="23"/>
      <c r="V44" s="11"/>
      <c r="W44" s="11"/>
      <c r="X44" s="8">
        <v>793895.93</v>
      </c>
      <c r="Y44" s="9"/>
      <c r="Z44" s="70">
        <v>0</v>
      </c>
      <c r="AA44" s="71"/>
      <c r="AB44" s="108"/>
      <c r="AC44" s="9"/>
      <c r="AD44" s="9"/>
      <c r="AE44" s="10"/>
      <c r="AF44" s="24">
        <v>0</v>
      </c>
      <c r="AG44" s="11">
        <v>794784.42</v>
      </c>
      <c r="AH44" s="8">
        <v>793895.93</v>
      </c>
      <c r="AI44" s="9">
        <v>888.49</v>
      </c>
      <c r="AJ44" s="9">
        <v>888.49</v>
      </c>
      <c r="AK44" s="10"/>
      <c r="AL44" s="11"/>
      <c r="AM44" s="8">
        <v>0</v>
      </c>
      <c r="AN44" s="9"/>
      <c r="AO44" s="9"/>
      <c r="AP44" s="10"/>
      <c r="AQ44" s="25"/>
      <c r="AR44" s="25"/>
      <c r="AS44" s="25"/>
      <c r="AT44" s="10"/>
      <c r="AU44" s="12">
        <v>794784.42</v>
      </c>
      <c r="AV44" s="12"/>
      <c r="AW44" s="12"/>
      <c r="AX44" s="242"/>
      <c r="AY44" s="243"/>
      <c r="AZ44" s="242"/>
      <c r="BA44" s="242"/>
      <c r="BB44" s="244"/>
      <c r="BC44" s="243"/>
      <c r="BD44" s="243"/>
      <c r="BE44" s="242">
        <v>0</v>
      </c>
      <c r="BF44" s="242">
        <v>0</v>
      </c>
      <c r="BG44" s="242">
        <v>0</v>
      </c>
      <c r="BH44" s="242">
        <v>0</v>
      </c>
      <c r="BI44" s="242">
        <v>0</v>
      </c>
      <c r="BJ44" s="242">
        <v>0</v>
      </c>
      <c r="BK44" s="242">
        <v>0</v>
      </c>
      <c r="BL44" s="242"/>
      <c r="BM44" s="242">
        <v>2</v>
      </c>
      <c r="BN44" s="242">
        <v>0</v>
      </c>
      <c r="BO44" s="242">
        <v>0</v>
      </c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>
        <v>0</v>
      </c>
      <c r="CE44" s="242">
        <v>793895.93</v>
      </c>
      <c r="CF44" s="242">
        <v>0</v>
      </c>
      <c r="CG44" s="242">
        <v>793895.93</v>
      </c>
      <c r="CH44" s="242">
        <v>0</v>
      </c>
      <c r="CI44" s="247" t="s">
        <v>633</v>
      </c>
      <c r="CJ44" s="248">
        <v>793895.93</v>
      </c>
      <c r="CK44" s="248">
        <v>0</v>
      </c>
      <c r="CL44" s="248">
        <v>794784.42</v>
      </c>
      <c r="CM44" s="248">
        <v>0</v>
      </c>
    </row>
    <row r="45" spans="1:91" ht="30" x14ac:dyDescent="0.25">
      <c r="A45" s="231" t="s">
        <v>712</v>
      </c>
      <c r="B45" s="251" t="s">
        <v>713</v>
      </c>
      <c r="C45" s="232" t="s">
        <v>636</v>
      </c>
      <c r="D45" s="233"/>
      <c r="E45" s="234">
        <v>721368.9</v>
      </c>
      <c r="F45" s="235">
        <v>721368.9</v>
      </c>
      <c r="G45" s="236"/>
      <c r="H45" s="237"/>
      <c r="I45" s="238">
        <v>721368.9</v>
      </c>
      <c r="J45" s="239"/>
      <c r="K45" s="240"/>
      <c r="L45" s="8">
        <v>603983.97</v>
      </c>
      <c r="M45" s="241">
        <v>604491.18999999994</v>
      </c>
      <c r="N45" s="71"/>
      <c r="O45" s="100"/>
      <c r="P45" s="9"/>
      <c r="Q45" s="9"/>
      <c r="R45" s="9"/>
      <c r="S45" s="152">
        <v>45747</v>
      </c>
      <c r="T45" s="10"/>
      <c r="U45" s="23"/>
      <c r="V45" s="11"/>
      <c r="W45" s="11"/>
      <c r="X45" s="8">
        <v>604491.18999999994</v>
      </c>
      <c r="Y45" s="9"/>
      <c r="Z45" s="70">
        <v>0</v>
      </c>
      <c r="AA45" s="71"/>
      <c r="AB45" s="108"/>
      <c r="AC45" s="9"/>
      <c r="AD45" s="9"/>
      <c r="AE45" s="10"/>
      <c r="AF45" s="24">
        <v>0</v>
      </c>
      <c r="AG45" s="11">
        <v>711368.89999999991</v>
      </c>
      <c r="AH45" s="8">
        <v>604491.18999999994</v>
      </c>
      <c r="AI45" s="9">
        <v>106877.71</v>
      </c>
      <c r="AJ45" s="9">
        <v>106877.71</v>
      </c>
      <c r="AK45" s="10"/>
      <c r="AL45" s="11"/>
      <c r="AM45" s="8">
        <v>0</v>
      </c>
      <c r="AN45" s="9"/>
      <c r="AO45" s="9"/>
      <c r="AP45" s="10"/>
      <c r="AQ45" s="25"/>
      <c r="AR45" s="25"/>
      <c r="AS45" s="25"/>
      <c r="AT45" s="10"/>
      <c r="AU45" s="12">
        <v>711368.9</v>
      </c>
      <c r="AV45" s="12"/>
      <c r="AW45" s="12"/>
      <c r="AX45" s="242"/>
      <c r="AY45" s="243"/>
      <c r="AZ45" s="242"/>
      <c r="BA45" s="242"/>
      <c r="BB45" s="244"/>
      <c r="BC45" s="243"/>
      <c r="BD45" s="243"/>
      <c r="BE45" s="242">
        <v>0</v>
      </c>
      <c r="BF45" s="242">
        <v>0</v>
      </c>
      <c r="BG45" s="242">
        <v>0</v>
      </c>
      <c r="BH45" s="242">
        <v>0</v>
      </c>
      <c r="BI45" s="242">
        <v>0</v>
      </c>
      <c r="BJ45" s="242">
        <v>0</v>
      </c>
      <c r="BK45" s="242">
        <v>0</v>
      </c>
      <c r="BL45" s="242"/>
      <c r="BM45" s="242">
        <v>2</v>
      </c>
      <c r="BN45" s="242">
        <v>0</v>
      </c>
      <c r="BO45" s="242">
        <v>0</v>
      </c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>
        <v>0</v>
      </c>
      <c r="CE45" s="242">
        <v>604491.18999999994</v>
      </c>
      <c r="CF45" s="242">
        <v>0</v>
      </c>
      <c r="CG45" s="242">
        <v>604491.18999999994</v>
      </c>
      <c r="CH45" s="242">
        <v>0</v>
      </c>
      <c r="CI45" s="247" t="s">
        <v>633</v>
      </c>
      <c r="CJ45" s="248">
        <v>604491.18999999994</v>
      </c>
      <c r="CK45" s="248">
        <v>0</v>
      </c>
      <c r="CL45" s="248">
        <v>711368.9</v>
      </c>
      <c r="CM45" s="248">
        <v>0</v>
      </c>
    </row>
    <row r="46" spans="1:91" x14ac:dyDescent="0.25">
      <c r="A46" s="231" t="s">
        <v>714</v>
      </c>
      <c r="B46" s="251" t="s">
        <v>715</v>
      </c>
      <c r="C46" s="232" t="s">
        <v>636</v>
      </c>
      <c r="D46" s="233"/>
      <c r="E46" s="234">
        <v>3263560.76</v>
      </c>
      <c r="F46" s="235">
        <v>3263560.76</v>
      </c>
      <c r="G46" s="236"/>
      <c r="H46" s="237"/>
      <c r="I46" s="238">
        <v>3263560.76</v>
      </c>
      <c r="J46" s="239"/>
      <c r="K46" s="240"/>
      <c r="L46" s="8">
        <v>2665642.25</v>
      </c>
      <c r="M46" s="241">
        <v>2665642.25</v>
      </c>
      <c r="N46" s="71"/>
      <c r="O46" s="100"/>
      <c r="P46" s="9"/>
      <c r="Q46" s="9"/>
      <c r="R46" s="9"/>
      <c r="S46" s="152">
        <v>45657</v>
      </c>
      <c r="T46" s="10"/>
      <c r="U46" s="23"/>
      <c r="V46" s="11"/>
      <c r="W46" s="11"/>
      <c r="X46" s="8">
        <v>2661940.63</v>
      </c>
      <c r="Y46" s="9"/>
      <c r="Z46" s="70">
        <v>0</v>
      </c>
      <c r="AA46" s="71"/>
      <c r="AB46" s="108"/>
      <c r="AC46" s="9"/>
      <c r="AD46" s="9"/>
      <c r="AE46" s="10"/>
      <c r="AF46" s="24">
        <v>0</v>
      </c>
      <c r="AG46" s="11">
        <v>3263560.76</v>
      </c>
      <c r="AH46" s="8">
        <v>2661940.63</v>
      </c>
      <c r="AI46" s="9">
        <v>601620.13</v>
      </c>
      <c r="AJ46" s="9">
        <v>601620.13</v>
      </c>
      <c r="AK46" s="10"/>
      <c r="AL46" s="11"/>
      <c r="AM46" s="8">
        <v>0</v>
      </c>
      <c r="AN46" s="9"/>
      <c r="AO46" s="9"/>
      <c r="AP46" s="10"/>
      <c r="AQ46" s="25"/>
      <c r="AR46" s="25"/>
      <c r="AS46" s="25"/>
      <c r="AT46" s="10"/>
      <c r="AU46" s="12">
        <v>3263560.76</v>
      </c>
      <c r="AV46" s="12"/>
      <c r="AW46" s="12"/>
      <c r="AX46" s="242"/>
      <c r="AY46" s="243"/>
      <c r="AZ46" s="242"/>
      <c r="BA46" s="242"/>
      <c r="BB46" s="244"/>
      <c r="BC46" s="243"/>
      <c r="BD46" s="243"/>
      <c r="BE46" s="242">
        <v>0</v>
      </c>
      <c r="BF46" s="242">
        <v>0</v>
      </c>
      <c r="BG46" s="242">
        <v>0</v>
      </c>
      <c r="BH46" s="242">
        <v>0</v>
      </c>
      <c r="BI46" s="242">
        <v>0</v>
      </c>
      <c r="BJ46" s="242">
        <v>0</v>
      </c>
      <c r="BK46" s="242">
        <v>0</v>
      </c>
      <c r="BL46" s="242"/>
      <c r="BM46" s="242">
        <v>2</v>
      </c>
      <c r="BN46" s="242">
        <v>0</v>
      </c>
      <c r="BO46" s="242">
        <v>0</v>
      </c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>
        <v>0</v>
      </c>
      <c r="CE46" s="242">
        <v>2661940.63</v>
      </c>
      <c r="CF46" s="242">
        <v>0</v>
      </c>
      <c r="CG46" s="242">
        <v>2661940.63</v>
      </c>
      <c r="CH46" s="242">
        <v>0</v>
      </c>
      <c r="CI46" s="247" t="s">
        <v>633</v>
      </c>
      <c r="CJ46" s="248">
        <v>2661940.63</v>
      </c>
      <c r="CK46" s="248">
        <v>0</v>
      </c>
      <c r="CL46" s="248">
        <v>3263560.76</v>
      </c>
      <c r="CM46" s="248">
        <v>0</v>
      </c>
    </row>
    <row r="47" spans="1:91" x14ac:dyDescent="0.25">
      <c r="A47" s="231" t="s">
        <v>716</v>
      </c>
      <c r="B47" s="232" t="s">
        <v>717</v>
      </c>
      <c r="C47" s="232" t="s">
        <v>643</v>
      </c>
      <c r="D47" s="233"/>
      <c r="E47" s="234">
        <v>647803</v>
      </c>
      <c r="F47" s="235">
        <v>647803</v>
      </c>
      <c r="G47" s="236"/>
      <c r="H47" s="237"/>
      <c r="I47" s="238">
        <v>647803</v>
      </c>
      <c r="J47" s="239"/>
      <c r="K47" s="240"/>
      <c r="L47" s="8">
        <v>564837.46</v>
      </c>
      <c r="M47" s="241">
        <v>564837.46</v>
      </c>
      <c r="N47" s="239"/>
      <c r="O47" s="240"/>
      <c r="P47" s="9"/>
      <c r="Q47" s="9"/>
      <c r="R47" s="9"/>
      <c r="S47" s="152">
        <v>45657</v>
      </c>
      <c r="T47" s="10"/>
      <c r="U47" s="23"/>
      <c r="V47" s="11"/>
      <c r="W47" s="11"/>
      <c r="X47" s="8">
        <v>564837.46</v>
      </c>
      <c r="Y47" s="9"/>
      <c r="Z47" s="70">
        <v>0</v>
      </c>
      <c r="AA47" s="71"/>
      <c r="AB47" s="108"/>
      <c r="AC47" s="9"/>
      <c r="AD47" s="9"/>
      <c r="AE47" s="10"/>
      <c r="AF47" s="24">
        <v>0</v>
      </c>
      <c r="AG47" s="11">
        <v>647803</v>
      </c>
      <c r="AH47" s="8">
        <v>564837.46</v>
      </c>
      <c r="AI47" s="9">
        <v>82965.539999999994</v>
      </c>
      <c r="AJ47" s="9">
        <v>82965.539999999994</v>
      </c>
      <c r="AK47" s="10"/>
      <c r="AL47" s="11"/>
      <c r="AM47" s="8">
        <v>0</v>
      </c>
      <c r="AN47" s="9"/>
      <c r="AO47" s="9"/>
      <c r="AP47" s="10"/>
      <c r="AQ47" s="25"/>
      <c r="AR47" s="25"/>
      <c r="AS47" s="25"/>
      <c r="AT47" s="10"/>
      <c r="AU47" s="12">
        <v>647803</v>
      </c>
      <c r="AV47" s="12"/>
      <c r="AW47" s="12"/>
      <c r="AX47" s="242"/>
      <c r="AY47" s="243"/>
      <c r="AZ47" s="242"/>
      <c r="BA47" s="242"/>
      <c r="BB47" s="244"/>
      <c r="BC47" s="243"/>
      <c r="BD47" s="243"/>
      <c r="BE47" s="242">
        <v>0</v>
      </c>
      <c r="BF47" s="242">
        <v>0</v>
      </c>
      <c r="BG47" s="242">
        <v>0</v>
      </c>
      <c r="BH47" s="242">
        <v>0</v>
      </c>
      <c r="BI47" s="242">
        <v>0</v>
      </c>
      <c r="BJ47" s="242">
        <v>0</v>
      </c>
      <c r="BK47" s="242">
        <v>0</v>
      </c>
      <c r="BL47" s="242"/>
      <c r="BM47" s="242">
        <v>2</v>
      </c>
      <c r="BN47" s="242">
        <v>0</v>
      </c>
      <c r="BO47" s="242">
        <v>0</v>
      </c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>
        <v>0</v>
      </c>
      <c r="CE47" s="242">
        <v>564837.46</v>
      </c>
      <c r="CF47" s="242">
        <v>0</v>
      </c>
      <c r="CG47" s="242">
        <v>564837.46</v>
      </c>
      <c r="CH47" s="242">
        <v>0</v>
      </c>
      <c r="CI47" s="247" t="s">
        <v>633</v>
      </c>
      <c r="CJ47" s="248">
        <v>564837.46</v>
      </c>
      <c r="CK47" s="248">
        <v>0</v>
      </c>
      <c r="CL47" s="248">
        <v>647803</v>
      </c>
      <c r="CM47" s="248">
        <v>0</v>
      </c>
    </row>
    <row r="48" spans="1:91" x14ac:dyDescent="0.25">
      <c r="A48" s="231" t="s">
        <v>718</v>
      </c>
      <c r="B48" s="232" t="s">
        <v>719</v>
      </c>
      <c r="C48" s="232" t="s">
        <v>636</v>
      </c>
      <c r="D48" s="233"/>
      <c r="E48" s="234">
        <v>42602.55</v>
      </c>
      <c r="F48" s="235">
        <v>42602.55</v>
      </c>
      <c r="G48" s="236"/>
      <c r="H48" s="237"/>
      <c r="I48" s="238">
        <v>42602.55</v>
      </c>
      <c r="J48" s="239"/>
      <c r="K48" s="240"/>
      <c r="L48" s="8">
        <v>10413.6</v>
      </c>
      <c r="M48" s="241">
        <v>10416.6</v>
      </c>
      <c r="N48" s="71"/>
      <c r="O48" s="100"/>
      <c r="P48" s="9"/>
      <c r="Q48" s="9"/>
      <c r="R48" s="9"/>
      <c r="S48" s="152">
        <v>45657</v>
      </c>
      <c r="T48" s="10"/>
      <c r="U48" s="23"/>
      <c r="V48" s="11"/>
      <c r="W48" s="11"/>
      <c r="X48" s="8">
        <v>10416.6</v>
      </c>
      <c r="Y48" s="9"/>
      <c r="Z48" s="70">
        <v>0</v>
      </c>
      <c r="AA48" s="71"/>
      <c r="AB48" s="108"/>
      <c r="AC48" s="9"/>
      <c r="AD48" s="9"/>
      <c r="AE48" s="10"/>
      <c r="AF48" s="24">
        <v>0</v>
      </c>
      <c r="AG48" s="11">
        <v>38602.550000000003</v>
      </c>
      <c r="AH48" s="8">
        <v>10416.6</v>
      </c>
      <c r="AI48" s="9">
        <v>28185.95</v>
      </c>
      <c r="AJ48" s="9">
        <v>28185.95</v>
      </c>
      <c r="AK48" s="10"/>
      <c r="AL48" s="11"/>
      <c r="AM48" s="8">
        <v>0</v>
      </c>
      <c r="AN48" s="9"/>
      <c r="AO48" s="9"/>
      <c r="AP48" s="10"/>
      <c r="AQ48" s="25"/>
      <c r="AR48" s="25"/>
      <c r="AS48" s="25"/>
      <c r="AT48" s="10"/>
      <c r="AU48" s="12">
        <v>38602.550000000003</v>
      </c>
      <c r="AV48" s="12"/>
      <c r="AW48" s="12"/>
      <c r="AX48" s="242"/>
      <c r="AY48" s="243"/>
      <c r="AZ48" s="242"/>
      <c r="BA48" s="242"/>
      <c r="BB48" s="244"/>
      <c r="BC48" s="243"/>
      <c r="BD48" s="243"/>
      <c r="BE48" s="242">
        <v>0</v>
      </c>
      <c r="BF48" s="242">
        <v>0</v>
      </c>
      <c r="BG48" s="242">
        <v>0</v>
      </c>
      <c r="BH48" s="242">
        <v>0</v>
      </c>
      <c r="BI48" s="242">
        <v>0</v>
      </c>
      <c r="BJ48" s="242">
        <v>0</v>
      </c>
      <c r="BK48" s="242">
        <v>0</v>
      </c>
      <c r="BL48" s="242"/>
      <c r="BM48" s="242">
        <v>2</v>
      </c>
      <c r="BN48" s="242">
        <v>0</v>
      </c>
      <c r="BO48" s="242">
        <v>0</v>
      </c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>
        <v>0</v>
      </c>
      <c r="CE48" s="242">
        <v>10416.6</v>
      </c>
      <c r="CF48" s="242">
        <v>0</v>
      </c>
      <c r="CG48" s="242">
        <v>10416.6</v>
      </c>
      <c r="CH48" s="242">
        <v>0</v>
      </c>
      <c r="CI48" s="247" t="s">
        <v>633</v>
      </c>
      <c r="CJ48" s="248">
        <v>10416.6</v>
      </c>
      <c r="CK48" s="248">
        <v>0</v>
      </c>
      <c r="CL48" s="248">
        <v>38602.550000000003</v>
      </c>
      <c r="CM48" s="248">
        <v>0</v>
      </c>
    </row>
    <row r="49" spans="1:91" x14ac:dyDescent="0.25">
      <c r="A49" s="231" t="s">
        <v>720</v>
      </c>
      <c r="B49" s="232" t="s">
        <v>721</v>
      </c>
      <c r="C49" s="232" t="s">
        <v>636</v>
      </c>
      <c r="D49" s="233"/>
      <c r="E49" s="234">
        <v>2355416.6</v>
      </c>
      <c r="F49" s="235">
        <v>2355416.6</v>
      </c>
      <c r="G49" s="236"/>
      <c r="H49" s="237"/>
      <c r="I49" s="238">
        <v>2355416.6</v>
      </c>
      <c r="J49" s="239"/>
      <c r="K49" s="240"/>
      <c r="L49" s="8">
        <v>1862187.9</v>
      </c>
      <c r="M49" s="241">
        <v>1862187.9</v>
      </c>
      <c r="N49" s="71"/>
      <c r="O49" s="100"/>
      <c r="P49" s="9"/>
      <c r="Q49" s="9"/>
      <c r="R49" s="9"/>
      <c r="S49" s="152">
        <v>45657</v>
      </c>
      <c r="T49" s="10"/>
      <c r="U49" s="23"/>
      <c r="V49" s="11"/>
      <c r="W49" s="11"/>
      <c r="X49" s="8">
        <v>1859766.22</v>
      </c>
      <c r="Y49" s="9"/>
      <c r="Z49" s="70">
        <v>0</v>
      </c>
      <c r="AA49" s="71"/>
      <c r="AB49" s="108"/>
      <c r="AC49" s="9"/>
      <c r="AD49" s="9"/>
      <c r="AE49" s="10"/>
      <c r="AF49" s="24">
        <v>0</v>
      </c>
      <c r="AG49" s="11">
        <v>2341026.2999999998</v>
      </c>
      <c r="AH49" s="8">
        <v>1859766.22</v>
      </c>
      <c r="AI49" s="9">
        <v>481260.08</v>
      </c>
      <c r="AJ49" s="9">
        <v>481260.08</v>
      </c>
      <c r="AK49" s="10"/>
      <c r="AL49" s="11"/>
      <c r="AM49" s="8">
        <v>0</v>
      </c>
      <c r="AN49" s="9"/>
      <c r="AO49" s="9"/>
      <c r="AP49" s="10"/>
      <c r="AQ49" s="25"/>
      <c r="AR49" s="25"/>
      <c r="AS49" s="25"/>
      <c r="AT49" s="10"/>
      <c r="AU49" s="12">
        <v>2341026.2999999998</v>
      </c>
      <c r="AV49" s="12"/>
      <c r="AW49" s="12"/>
      <c r="AX49" s="242"/>
      <c r="AY49" s="243"/>
      <c r="AZ49" s="242"/>
      <c r="BA49" s="242"/>
      <c r="BB49" s="244"/>
      <c r="BC49" s="243"/>
      <c r="BD49" s="243"/>
      <c r="BE49" s="242">
        <v>0</v>
      </c>
      <c r="BF49" s="242">
        <v>0</v>
      </c>
      <c r="BG49" s="242">
        <v>0</v>
      </c>
      <c r="BH49" s="242">
        <v>0</v>
      </c>
      <c r="BI49" s="242">
        <v>0</v>
      </c>
      <c r="BJ49" s="242">
        <v>0</v>
      </c>
      <c r="BK49" s="242">
        <v>0</v>
      </c>
      <c r="BL49" s="242"/>
      <c r="BM49" s="242">
        <v>2</v>
      </c>
      <c r="BN49" s="242">
        <v>0</v>
      </c>
      <c r="BO49" s="242">
        <v>0</v>
      </c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>
        <v>0</v>
      </c>
      <c r="CE49" s="242">
        <v>1859766.22</v>
      </c>
      <c r="CF49" s="242">
        <v>0</v>
      </c>
      <c r="CG49" s="242">
        <v>1859766.22</v>
      </c>
      <c r="CH49" s="242">
        <v>0</v>
      </c>
      <c r="CI49" s="247" t="s">
        <v>633</v>
      </c>
      <c r="CJ49" s="248">
        <v>1859766.22</v>
      </c>
      <c r="CK49" s="248">
        <v>0</v>
      </c>
      <c r="CL49" s="248">
        <v>2341026.2999999998</v>
      </c>
      <c r="CM49" s="248">
        <v>0</v>
      </c>
    </row>
    <row r="50" spans="1:91" x14ac:dyDescent="0.25">
      <c r="A50" s="231" t="s">
        <v>722</v>
      </c>
      <c r="B50" s="232" t="s">
        <v>723</v>
      </c>
      <c r="C50" s="232" t="s">
        <v>636</v>
      </c>
      <c r="D50" s="233"/>
      <c r="E50" s="234">
        <v>147329.95000000001</v>
      </c>
      <c r="F50" s="235">
        <v>147329.95000000001</v>
      </c>
      <c r="G50" s="236"/>
      <c r="H50" s="237"/>
      <c r="I50" s="238">
        <v>147329.95000000001</v>
      </c>
      <c r="J50" s="239"/>
      <c r="K50" s="240"/>
      <c r="L50" s="8">
        <v>124688.79</v>
      </c>
      <c r="M50" s="241">
        <v>124688.79</v>
      </c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>
        <v>124688.79</v>
      </c>
      <c r="Y50" s="9"/>
      <c r="Z50" s="70">
        <v>0</v>
      </c>
      <c r="AA50" s="71"/>
      <c r="AB50" s="108"/>
      <c r="AC50" s="9"/>
      <c r="AD50" s="9"/>
      <c r="AE50" s="10"/>
      <c r="AF50" s="24">
        <v>0</v>
      </c>
      <c r="AG50" s="11">
        <v>124688.79</v>
      </c>
      <c r="AH50" s="8">
        <v>124688.79</v>
      </c>
      <c r="AI50" s="9">
        <v>-124688.79</v>
      </c>
      <c r="AJ50" s="9">
        <v>0</v>
      </c>
      <c r="AK50" s="10"/>
      <c r="AL50" s="11"/>
      <c r="AM50" s="8">
        <v>0</v>
      </c>
      <c r="AN50" s="9"/>
      <c r="AO50" s="9"/>
      <c r="AP50" s="10"/>
      <c r="AQ50" s="25"/>
      <c r="AR50" s="25"/>
      <c r="AS50" s="25"/>
      <c r="AT50" s="10"/>
      <c r="AU50" s="12">
        <v>147329.95000000001</v>
      </c>
      <c r="AV50" s="12"/>
      <c r="AW50" s="12"/>
      <c r="AX50" s="242"/>
      <c r="AY50" s="243"/>
      <c r="AZ50" s="242"/>
      <c r="BA50" s="242"/>
      <c r="BB50" s="244"/>
      <c r="BC50" s="243"/>
      <c r="BD50" s="243"/>
      <c r="BE50" s="242">
        <v>0</v>
      </c>
      <c r="BF50" s="242">
        <v>0</v>
      </c>
      <c r="BG50" s="242">
        <v>0</v>
      </c>
      <c r="BH50" s="242">
        <v>0</v>
      </c>
      <c r="BI50" s="242">
        <v>0</v>
      </c>
      <c r="BJ50" s="242">
        <v>0</v>
      </c>
      <c r="BK50" s="242">
        <v>0</v>
      </c>
      <c r="BL50" s="242"/>
      <c r="BM50" s="242">
        <v>2</v>
      </c>
      <c r="BN50" s="242">
        <v>0</v>
      </c>
      <c r="BO50" s="242">
        <v>0</v>
      </c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>
        <v>0</v>
      </c>
      <c r="CE50" s="242">
        <v>124688.79</v>
      </c>
      <c r="CF50" s="242">
        <v>0</v>
      </c>
      <c r="CG50" s="242">
        <v>124688.79</v>
      </c>
      <c r="CH50" s="242">
        <v>0</v>
      </c>
      <c r="CI50" s="247" t="s">
        <v>633</v>
      </c>
      <c r="CJ50" s="248">
        <v>124688.79</v>
      </c>
      <c r="CK50" s="248">
        <v>0</v>
      </c>
      <c r="CL50" s="248">
        <v>147329.95000000001</v>
      </c>
      <c r="CM50" s="248">
        <v>0</v>
      </c>
    </row>
    <row r="51" spans="1:91" x14ac:dyDescent="0.25">
      <c r="A51" s="231" t="s">
        <v>724</v>
      </c>
      <c r="B51" s="232" t="s">
        <v>725</v>
      </c>
      <c r="C51" s="232" t="s">
        <v>646</v>
      </c>
      <c r="D51" s="233"/>
      <c r="E51" s="234">
        <v>1361329.36</v>
      </c>
      <c r="F51" s="235">
        <v>1361329.36</v>
      </c>
      <c r="G51" s="236"/>
      <c r="H51" s="237"/>
      <c r="I51" s="238">
        <v>1361329.36</v>
      </c>
      <c r="J51" s="239"/>
      <c r="K51" s="240"/>
      <c r="L51" s="8">
        <v>1173903.3400000001</v>
      </c>
      <c r="M51" s="241">
        <v>1173903.3400000001</v>
      </c>
      <c r="N51" s="71"/>
      <c r="O51" s="100"/>
      <c r="P51" s="9"/>
      <c r="Q51" s="9"/>
      <c r="R51" s="9"/>
      <c r="S51" s="152">
        <v>45657</v>
      </c>
      <c r="T51" s="10"/>
      <c r="U51" s="23"/>
      <c r="V51" s="11"/>
      <c r="W51" s="11"/>
      <c r="X51" s="8">
        <v>1173736.4099999999</v>
      </c>
      <c r="Y51" s="9"/>
      <c r="Z51" s="70">
        <v>0</v>
      </c>
      <c r="AA51" s="71"/>
      <c r="AB51" s="108"/>
      <c r="AC51" s="9"/>
      <c r="AD51" s="9"/>
      <c r="AE51" s="10"/>
      <c r="AF51" s="24">
        <v>0</v>
      </c>
      <c r="AG51" s="11">
        <v>1340781.48</v>
      </c>
      <c r="AH51" s="8">
        <v>1173736.4099999999</v>
      </c>
      <c r="AI51" s="9">
        <v>167045.07</v>
      </c>
      <c r="AJ51" s="9">
        <v>167045.07</v>
      </c>
      <c r="AK51" s="10"/>
      <c r="AL51" s="11"/>
      <c r="AM51" s="8">
        <v>0</v>
      </c>
      <c r="AN51" s="9"/>
      <c r="AO51" s="9"/>
      <c r="AP51" s="10"/>
      <c r="AQ51" s="25"/>
      <c r="AR51" s="25"/>
      <c r="AS51" s="25"/>
      <c r="AT51" s="10"/>
      <c r="AU51" s="12">
        <v>1340781.48</v>
      </c>
      <c r="AV51" s="12"/>
      <c r="AW51" s="12"/>
      <c r="AX51" s="242"/>
      <c r="AY51" s="243"/>
      <c r="AZ51" s="242"/>
      <c r="BA51" s="242"/>
      <c r="BB51" s="244"/>
      <c r="BC51" s="243"/>
      <c r="BD51" s="243"/>
      <c r="BE51" s="242">
        <v>0</v>
      </c>
      <c r="BF51" s="242">
        <v>0</v>
      </c>
      <c r="BG51" s="242">
        <v>0</v>
      </c>
      <c r="BH51" s="242">
        <v>0</v>
      </c>
      <c r="BI51" s="242">
        <v>0</v>
      </c>
      <c r="BJ51" s="242">
        <v>0</v>
      </c>
      <c r="BK51" s="242">
        <v>0</v>
      </c>
      <c r="BL51" s="242"/>
      <c r="BM51" s="242">
        <v>2</v>
      </c>
      <c r="BN51" s="242">
        <v>0</v>
      </c>
      <c r="BO51" s="242">
        <v>0</v>
      </c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>
        <v>0</v>
      </c>
      <c r="CE51" s="242">
        <v>1173736.4099999999</v>
      </c>
      <c r="CF51" s="242">
        <v>0</v>
      </c>
      <c r="CG51" s="242">
        <v>1173736.4099999999</v>
      </c>
      <c r="CH51" s="242">
        <v>0</v>
      </c>
      <c r="CI51" s="247" t="s">
        <v>633</v>
      </c>
      <c r="CJ51" s="248">
        <v>1173736.4099999999</v>
      </c>
      <c r="CK51" s="248">
        <v>0</v>
      </c>
      <c r="CL51" s="248">
        <v>1340781.48</v>
      </c>
      <c r="CM51" s="248">
        <v>0</v>
      </c>
    </row>
    <row r="52" spans="1:91" x14ac:dyDescent="0.25">
      <c r="A52" s="231" t="s">
        <v>726</v>
      </c>
      <c r="B52" s="232" t="s">
        <v>727</v>
      </c>
      <c r="C52" s="232" t="s">
        <v>646</v>
      </c>
      <c r="D52" s="233"/>
      <c r="E52" s="234">
        <v>2317227.7599999998</v>
      </c>
      <c r="F52" s="235">
        <v>2317227.7599999998</v>
      </c>
      <c r="G52" s="236"/>
      <c r="H52" s="237"/>
      <c r="I52" s="238">
        <v>2317227.7599999998</v>
      </c>
      <c r="J52" s="239"/>
      <c r="K52" s="240"/>
      <c r="L52" s="8">
        <v>2184535.23</v>
      </c>
      <c r="M52" s="241">
        <v>2184535.23</v>
      </c>
      <c r="N52" s="71"/>
      <c r="O52" s="100"/>
      <c r="P52" s="9"/>
      <c r="Q52" s="9"/>
      <c r="R52" s="9"/>
      <c r="S52" s="152">
        <v>45688</v>
      </c>
      <c r="T52" s="10"/>
      <c r="U52" s="23"/>
      <c r="V52" s="11"/>
      <c r="W52" s="11"/>
      <c r="X52" s="8">
        <v>2184535.23</v>
      </c>
      <c r="Y52" s="9"/>
      <c r="Z52" s="70">
        <v>0</v>
      </c>
      <c r="AA52" s="71"/>
      <c r="AB52" s="108"/>
      <c r="AC52" s="9"/>
      <c r="AD52" s="9"/>
      <c r="AE52" s="10"/>
      <c r="AF52" s="24">
        <v>0</v>
      </c>
      <c r="AG52" s="11">
        <v>2250414.96</v>
      </c>
      <c r="AH52" s="8">
        <v>2184535.23</v>
      </c>
      <c r="AI52" s="9">
        <v>65879.73</v>
      </c>
      <c r="AJ52" s="9">
        <v>65879.73</v>
      </c>
      <c r="AK52" s="10"/>
      <c r="AL52" s="11"/>
      <c r="AM52" s="8">
        <v>0</v>
      </c>
      <c r="AN52" s="9"/>
      <c r="AO52" s="9"/>
      <c r="AP52" s="10"/>
      <c r="AQ52" s="25"/>
      <c r="AR52" s="25"/>
      <c r="AS52" s="25"/>
      <c r="AT52" s="10"/>
      <c r="AU52" s="12">
        <v>2250414.96</v>
      </c>
      <c r="AV52" s="12"/>
      <c r="AW52" s="12"/>
      <c r="AX52" s="242"/>
      <c r="AY52" s="243"/>
      <c r="AZ52" s="242"/>
      <c r="BA52" s="242"/>
      <c r="BB52" s="244"/>
      <c r="BC52" s="243"/>
      <c r="BD52" s="243"/>
      <c r="BE52" s="242">
        <v>0</v>
      </c>
      <c r="BF52" s="242">
        <v>0</v>
      </c>
      <c r="BG52" s="242">
        <v>0</v>
      </c>
      <c r="BH52" s="242">
        <v>0</v>
      </c>
      <c r="BI52" s="242">
        <v>0</v>
      </c>
      <c r="BJ52" s="242">
        <v>0</v>
      </c>
      <c r="BK52" s="242">
        <v>0</v>
      </c>
      <c r="BL52" s="242"/>
      <c r="BM52" s="242">
        <v>2</v>
      </c>
      <c r="BN52" s="242">
        <v>0</v>
      </c>
      <c r="BO52" s="242">
        <v>0</v>
      </c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>
        <v>0</v>
      </c>
      <c r="CE52" s="242">
        <v>2184535.23</v>
      </c>
      <c r="CF52" s="242">
        <v>0</v>
      </c>
      <c r="CG52" s="242">
        <v>2184535.23</v>
      </c>
      <c r="CH52" s="242">
        <v>0</v>
      </c>
      <c r="CI52" s="247" t="s">
        <v>633</v>
      </c>
      <c r="CJ52" s="248">
        <v>2184535.23</v>
      </c>
      <c r="CK52" s="248">
        <v>0</v>
      </c>
      <c r="CL52" s="248">
        <v>2250414.96</v>
      </c>
      <c r="CM52" s="248">
        <v>0</v>
      </c>
    </row>
    <row r="53" spans="1:91" x14ac:dyDescent="0.25">
      <c r="A53" s="231" t="s">
        <v>728</v>
      </c>
      <c r="B53" s="232" t="s">
        <v>729</v>
      </c>
      <c r="C53" s="232" t="s">
        <v>652</v>
      </c>
      <c r="D53" s="233"/>
      <c r="E53" s="234">
        <v>5167920.57</v>
      </c>
      <c r="F53" s="235">
        <v>5167920.57</v>
      </c>
      <c r="G53" s="236"/>
      <c r="H53" s="237"/>
      <c r="I53" s="238">
        <v>5192801.8</v>
      </c>
      <c r="J53" s="239"/>
      <c r="K53" s="240"/>
      <c r="L53" s="8">
        <v>4330665.79</v>
      </c>
      <c r="M53" s="241">
        <v>4329532.79</v>
      </c>
      <c r="N53" s="71"/>
      <c r="O53" s="100"/>
      <c r="P53" s="9"/>
      <c r="Q53" s="9">
        <v>863269.00999999978</v>
      </c>
      <c r="R53" s="9"/>
      <c r="S53" s="152">
        <v>45838</v>
      </c>
      <c r="T53" s="10"/>
      <c r="U53" s="23"/>
      <c r="V53" s="11"/>
      <c r="W53" s="11"/>
      <c r="X53" s="8">
        <v>4329532.79</v>
      </c>
      <c r="Y53" s="9"/>
      <c r="Z53" s="70">
        <v>863269.01</v>
      </c>
      <c r="AA53" s="71"/>
      <c r="AB53" s="108"/>
      <c r="AC53" s="9">
        <v>863269.01</v>
      </c>
      <c r="AD53" s="9"/>
      <c r="AE53" s="10"/>
      <c r="AF53" s="24">
        <v>0</v>
      </c>
      <c r="AG53" s="11">
        <v>5131725.18</v>
      </c>
      <c r="AH53" s="8">
        <v>4329683.18</v>
      </c>
      <c r="AI53" s="9">
        <v>802042</v>
      </c>
      <c r="AJ53" s="9">
        <v>802042</v>
      </c>
      <c r="AK53" s="10"/>
      <c r="AL53" s="11"/>
      <c r="AM53" s="8">
        <v>-150.38999999999999</v>
      </c>
      <c r="AN53" s="9"/>
      <c r="AO53" s="9"/>
      <c r="AP53" s="10"/>
      <c r="AQ53" s="25"/>
      <c r="AR53" s="25"/>
      <c r="AS53" s="25"/>
      <c r="AT53" s="10"/>
      <c r="AU53" s="12">
        <v>5192801.8</v>
      </c>
      <c r="AV53" s="12"/>
      <c r="AW53" s="12"/>
      <c r="AX53" s="242"/>
      <c r="AY53" s="243"/>
      <c r="AZ53" s="242"/>
      <c r="BA53" s="242"/>
      <c r="BB53" s="244"/>
      <c r="BC53" s="243" t="s">
        <v>630</v>
      </c>
      <c r="BD53" s="243" t="s">
        <v>630</v>
      </c>
      <c r="BE53" s="15">
        <v>5192801.8</v>
      </c>
      <c r="BF53" s="15">
        <v>4329532.79</v>
      </c>
      <c r="BG53" s="15">
        <v>863269.01</v>
      </c>
      <c r="BH53" s="15">
        <v>5192801.8</v>
      </c>
      <c r="BI53" s="15">
        <v>4329532.79</v>
      </c>
      <c r="BJ53" s="242">
        <v>0</v>
      </c>
      <c r="BK53" s="242">
        <v>863269.01</v>
      </c>
      <c r="BL53" s="242"/>
      <c r="BM53" s="242">
        <v>2</v>
      </c>
      <c r="BN53" s="242">
        <v>863269.00999999978</v>
      </c>
      <c r="BO53" s="242">
        <v>0</v>
      </c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94">
        <v>863269.01</v>
      </c>
      <c r="CC53" s="246" t="s">
        <v>634</v>
      </c>
      <c r="CD53" s="242">
        <v>0</v>
      </c>
      <c r="CE53" s="242">
        <v>4329683.18</v>
      </c>
      <c r="CF53" s="242">
        <v>0</v>
      </c>
      <c r="CG53" s="242">
        <v>4329683.18</v>
      </c>
      <c r="CH53" s="242">
        <v>0</v>
      </c>
      <c r="CI53" s="247" t="s">
        <v>633</v>
      </c>
      <c r="CJ53" s="248">
        <v>4329532.79</v>
      </c>
      <c r="CK53" s="248">
        <v>-150.38999999999999</v>
      </c>
      <c r="CL53" s="248">
        <v>5192801.8</v>
      </c>
      <c r="CM53" s="248">
        <v>0</v>
      </c>
    </row>
    <row r="54" spans="1:91" x14ac:dyDescent="0.25">
      <c r="A54" s="231" t="s">
        <v>730</v>
      </c>
      <c r="B54" s="232" t="s">
        <v>731</v>
      </c>
      <c r="C54" s="232" t="s">
        <v>643</v>
      </c>
      <c r="D54" s="233"/>
      <c r="E54" s="234">
        <v>700013.94</v>
      </c>
      <c r="F54" s="235">
        <v>700013.94</v>
      </c>
      <c r="G54" s="236"/>
      <c r="H54" s="237"/>
      <c r="I54" s="238">
        <v>700013.94</v>
      </c>
      <c r="J54" s="239"/>
      <c r="K54" s="240"/>
      <c r="L54" s="8">
        <v>542146.44999999995</v>
      </c>
      <c r="M54" s="241">
        <v>542146.44999999995</v>
      </c>
      <c r="N54" s="71"/>
      <c r="O54" s="100"/>
      <c r="P54" s="9"/>
      <c r="Q54" s="9">
        <v>157867.49</v>
      </c>
      <c r="R54" s="9"/>
      <c r="S54" s="152">
        <v>45961</v>
      </c>
      <c r="T54" s="10"/>
      <c r="U54" s="23"/>
      <c r="V54" s="11"/>
      <c r="W54" s="11"/>
      <c r="X54" s="8">
        <v>542146.44999999995</v>
      </c>
      <c r="Y54" s="9"/>
      <c r="Z54" s="70">
        <v>157867.49</v>
      </c>
      <c r="AA54" s="71"/>
      <c r="AB54" s="108"/>
      <c r="AC54" s="9">
        <v>157867.49</v>
      </c>
      <c r="AD54" s="9"/>
      <c r="AE54" s="10"/>
      <c r="AF54" s="24">
        <v>0</v>
      </c>
      <c r="AG54" s="11">
        <v>601190.72</v>
      </c>
      <c r="AH54" s="8">
        <v>484415.72</v>
      </c>
      <c r="AI54" s="9">
        <v>116775</v>
      </c>
      <c r="AJ54" s="9">
        <v>116775</v>
      </c>
      <c r="AK54" s="10"/>
      <c r="AL54" s="11"/>
      <c r="AM54" s="8">
        <v>57730.73</v>
      </c>
      <c r="AN54" s="9"/>
      <c r="AO54" s="9"/>
      <c r="AP54" s="10"/>
      <c r="AQ54" s="25"/>
      <c r="AR54" s="25"/>
      <c r="AS54" s="25"/>
      <c r="AT54" s="10"/>
      <c r="AU54" s="12">
        <v>700013.94</v>
      </c>
      <c r="AV54" s="12"/>
      <c r="AW54" s="12"/>
      <c r="AX54" s="242"/>
      <c r="AY54" s="243"/>
      <c r="AZ54" s="242"/>
      <c r="BA54" s="242"/>
      <c r="BB54" s="244"/>
      <c r="BC54" s="243" t="s">
        <v>630</v>
      </c>
      <c r="BD54" s="243" t="s">
        <v>630</v>
      </c>
      <c r="BE54" s="15">
        <v>700013.94</v>
      </c>
      <c r="BF54" s="15">
        <v>542146.44999999995</v>
      </c>
      <c r="BG54" s="15">
        <v>157867.49</v>
      </c>
      <c r="BH54" s="15">
        <v>700013.94</v>
      </c>
      <c r="BI54" s="15">
        <v>542146.44999999995</v>
      </c>
      <c r="BJ54" s="242">
        <v>0</v>
      </c>
      <c r="BK54" s="242">
        <v>157867.49</v>
      </c>
      <c r="BL54" s="242"/>
      <c r="BM54" s="242">
        <v>2</v>
      </c>
      <c r="BN54" s="242">
        <v>157867.49</v>
      </c>
      <c r="BO54" s="242">
        <v>0</v>
      </c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94">
        <v>157867.49</v>
      </c>
      <c r="CC54" s="246" t="s">
        <v>634</v>
      </c>
      <c r="CD54" s="242">
        <v>0</v>
      </c>
      <c r="CE54" s="242">
        <v>484415.72</v>
      </c>
      <c r="CF54" s="242">
        <v>0</v>
      </c>
      <c r="CG54" s="242">
        <v>484415.72</v>
      </c>
      <c r="CH54" s="242">
        <v>0</v>
      </c>
      <c r="CI54" s="247" t="s">
        <v>633</v>
      </c>
      <c r="CJ54" s="248">
        <v>542146.44999999995</v>
      </c>
      <c r="CK54" s="248">
        <v>57730.73</v>
      </c>
      <c r="CL54" s="248">
        <v>700013.94</v>
      </c>
      <c r="CM54" s="248">
        <v>0</v>
      </c>
    </row>
    <row r="55" spans="1:91" x14ac:dyDescent="0.25">
      <c r="A55" s="231" t="s">
        <v>732</v>
      </c>
      <c r="B55" s="232" t="s">
        <v>733</v>
      </c>
      <c r="C55" s="232" t="s">
        <v>643</v>
      </c>
      <c r="D55" s="233"/>
      <c r="E55" s="234">
        <v>2447355.2200000002</v>
      </c>
      <c r="F55" s="235">
        <v>2447355.2200000002</v>
      </c>
      <c r="G55" s="236"/>
      <c r="H55" s="237"/>
      <c r="I55" s="238">
        <v>2447355.2200000002</v>
      </c>
      <c r="J55" s="239"/>
      <c r="K55" s="240"/>
      <c r="L55" s="8">
        <v>1995712.27</v>
      </c>
      <c r="M55" s="241">
        <v>1995712.27</v>
      </c>
      <c r="N55" s="71"/>
      <c r="O55" s="100"/>
      <c r="P55" s="9"/>
      <c r="Q55" s="9"/>
      <c r="R55" s="9"/>
      <c r="S55" s="152">
        <v>45807</v>
      </c>
      <c r="T55" s="10"/>
      <c r="U55" s="23"/>
      <c r="V55" s="11"/>
      <c r="W55" s="11"/>
      <c r="X55" s="8">
        <v>1995655.12</v>
      </c>
      <c r="Y55" s="9"/>
      <c r="Z55" s="70">
        <v>0</v>
      </c>
      <c r="AA55" s="71"/>
      <c r="AB55" s="108"/>
      <c r="AC55" s="9"/>
      <c r="AD55" s="9"/>
      <c r="AE55" s="10"/>
      <c r="AF55" s="24">
        <v>0</v>
      </c>
      <c r="AG55" s="11">
        <v>2447355.2200000002</v>
      </c>
      <c r="AH55" s="8">
        <v>1995655.12</v>
      </c>
      <c r="AI55" s="9">
        <v>451700.1</v>
      </c>
      <c r="AJ55" s="9">
        <v>451700.1</v>
      </c>
      <c r="AK55" s="10"/>
      <c r="AL55" s="11"/>
      <c r="AM55" s="8">
        <v>0</v>
      </c>
      <c r="AN55" s="9"/>
      <c r="AO55" s="9"/>
      <c r="AP55" s="10"/>
      <c r="AQ55" s="25"/>
      <c r="AR55" s="25"/>
      <c r="AS55" s="25"/>
      <c r="AT55" s="10"/>
      <c r="AU55" s="12">
        <v>2447355.2200000002</v>
      </c>
      <c r="AV55" s="12"/>
      <c r="AW55" s="12"/>
      <c r="AX55" s="242"/>
      <c r="AY55" s="243"/>
      <c r="AZ55" s="242"/>
      <c r="BA55" s="242"/>
      <c r="BB55" s="244"/>
      <c r="BC55" s="243"/>
      <c r="BD55" s="243"/>
      <c r="BE55" s="242">
        <v>0</v>
      </c>
      <c r="BF55" s="242">
        <v>0</v>
      </c>
      <c r="BG55" s="242">
        <v>0</v>
      </c>
      <c r="BH55" s="242">
        <v>0</v>
      </c>
      <c r="BI55" s="242">
        <v>0</v>
      </c>
      <c r="BJ55" s="242">
        <v>0</v>
      </c>
      <c r="BK55" s="242">
        <v>0</v>
      </c>
      <c r="BL55" s="242"/>
      <c r="BM55" s="242">
        <v>2</v>
      </c>
      <c r="BN55" s="242">
        <v>0</v>
      </c>
      <c r="BO55" s="242">
        <v>0</v>
      </c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>
        <v>0</v>
      </c>
      <c r="CE55" s="242">
        <v>1995655.12</v>
      </c>
      <c r="CF55" s="242">
        <v>0</v>
      </c>
      <c r="CG55" s="242">
        <v>1995655.12</v>
      </c>
      <c r="CH55" s="242">
        <v>0</v>
      </c>
      <c r="CI55" s="247" t="s">
        <v>633</v>
      </c>
      <c r="CJ55" s="248">
        <v>1995655.12</v>
      </c>
      <c r="CK55" s="248">
        <v>0</v>
      </c>
      <c r="CL55" s="248">
        <v>2447355.2200000002</v>
      </c>
      <c r="CM55" s="248">
        <v>0</v>
      </c>
    </row>
    <row r="56" spans="1:91" x14ac:dyDescent="0.25">
      <c r="A56" s="231" t="s">
        <v>734</v>
      </c>
      <c r="B56" s="232" t="s">
        <v>735</v>
      </c>
      <c r="C56" s="232" t="s">
        <v>652</v>
      </c>
      <c r="D56" s="233"/>
      <c r="E56" s="234">
        <v>1603209.73</v>
      </c>
      <c r="F56" s="235">
        <v>1603209.73</v>
      </c>
      <c r="G56" s="236"/>
      <c r="H56" s="237"/>
      <c r="I56" s="238">
        <v>1603209.73</v>
      </c>
      <c r="J56" s="239"/>
      <c r="K56" s="240"/>
      <c r="L56" s="8">
        <v>1431097.56</v>
      </c>
      <c r="M56" s="241">
        <v>1431097.44</v>
      </c>
      <c r="N56" s="71"/>
      <c r="O56" s="100"/>
      <c r="P56" s="9"/>
      <c r="Q56" s="9">
        <v>172112.29000000004</v>
      </c>
      <c r="R56" s="9"/>
      <c r="S56" s="152">
        <v>45838</v>
      </c>
      <c r="T56" s="10"/>
      <c r="U56" s="23"/>
      <c r="V56" s="11"/>
      <c r="W56" s="11"/>
      <c r="X56" s="8">
        <v>1431097.44</v>
      </c>
      <c r="Y56" s="9"/>
      <c r="Z56" s="70">
        <v>172112.29</v>
      </c>
      <c r="AA56" s="71"/>
      <c r="AB56" s="108"/>
      <c r="AC56" s="9">
        <v>172112.29</v>
      </c>
      <c r="AD56" s="9"/>
      <c r="AE56" s="10"/>
      <c r="AF56" s="24">
        <v>0</v>
      </c>
      <c r="AG56" s="11">
        <v>1121313.78</v>
      </c>
      <c r="AH56" s="8">
        <v>962891.28</v>
      </c>
      <c r="AI56" s="9">
        <v>158422.5</v>
      </c>
      <c r="AJ56" s="9">
        <v>158422.5</v>
      </c>
      <c r="AK56" s="10"/>
      <c r="AL56" s="11"/>
      <c r="AM56" s="8">
        <v>468206.16</v>
      </c>
      <c r="AN56" s="9"/>
      <c r="AO56" s="9"/>
      <c r="AP56" s="10"/>
      <c r="AQ56" s="25"/>
      <c r="AR56" s="25"/>
      <c r="AS56" s="25"/>
      <c r="AT56" s="10"/>
      <c r="AU56" s="12">
        <v>1603209.73</v>
      </c>
      <c r="AV56" s="12"/>
      <c r="AW56" s="12"/>
      <c r="AX56" s="242"/>
      <c r="AY56" s="243"/>
      <c r="AZ56" s="242"/>
      <c r="BA56" s="242"/>
      <c r="BB56" s="244"/>
      <c r="BC56" s="243" t="s">
        <v>630</v>
      </c>
      <c r="BD56" s="243" t="s">
        <v>630</v>
      </c>
      <c r="BE56" s="15">
        <v>1603209.73</v>
      </c>
      <c r="BF56" s="15">
        <v>1431097.44</v>
      </c>
      <c r="BG56" s="15">
        <v>172112.29</v>
      </c>
      <c r="BH56" s="15">
        <v>1603209.73</v>
      </c>
      <c r="BI56" s="15">
        <v>1431097.44</v>
      </c>
      <c r="BJ56" s="242">
        <v>0</v>
      </c>
      <c r="BK56" s="242">
        <v>172112.29</v>
      </c>
      <c r="BL56" s="242"/>
      <c r="BM56" s="242">
        <v>2</v>
      </c>
      <c r="BN56" s="242">
        <v>172112.29000000004</v>
      </c>
      <c r="BO56" s="242">
        <v>0</v>
      </c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94">
        <v>172112.29</v>
      </c>
      <c r="CC56" s="246" t="s">
        <v>634</v>
      </c>
      <c r="CD56" s="242">
        <v>0</v>
      </c>
      <c r="CE56" s="242">
        <v>962891.28</v>
      </c>
      <c r="CF56" s="242">
        <v>0</v>
      </c>
      <c r="CG56" s="242">
        <v>962891.28</v>
      </c>
      <c r="CH56" s="242">
        <v>0</v>
      </c>
      <c r="CI56" s="247" t="s">
        <v>633</v>
      </c>
      <c r="CJ56" s="248">
        <v>1431097.44</v>
      </c>
      <c r="CK56" s="248">
        <v>468206.16</v>
      </c>
      <c r="CL56" s="248">
        <v>1603209.73</v>
      </c>
      <c r="CM56" s="248">
        <v>0</v>
      </c>
    </row>
    <row r="57" spans="1:91" x14ac:dyDescent="0.25">
      <c r="A57" s="231" t="s">
        <v>736</v>
      </c>
      <c r="B57" s="232" t="s">
        <v>737</v>
      </c>
      <c r="C57" s="232" t="s">
        <v>643</v>
      </c>
      <c r="D57" s="233"/>
      <c r="E57" s="234">
        <v>1833811.42</v>
      </c>
      <c r="F57" s="235">
        <v>1823811.42</v>
      </c>
      <c r="G57" s="236"/>
      <c r="H57" s="237"/>
      <c r="I57" s="238">
        <v>1815311.42</v>
      </c>
      <c r="J57" s="239"/>
      <c r="K57" s="240"/>
      <c r="L57" s="8">
        <v>1559760.09</v>
      </c>
      <c r="M57" s="241">
        <v>1559759.89</v>
      </c>
      <c r="N57" s="71"/>
      <c r="O57" s="100"/>
      <c r="P57" s="9"/>
      <c r="Q57" s="9">
        <v>255551.53000000003</v>
      </c>
      <c r="R57" s="9"/>
      <c r="S57" s="152">
        <v>45838</v>
      </c>
      <c r="T57" s="10"/>
      <c r="U57" s="23"/>
      <c r="V57" s="11"/>
      <c r="W57" s="11"/>
      <c r="X57" s="8">
        <v>1559759.89</v>
      </c>
      <c r="Y57" s="9"/>
      <c r="Z57" s="70">
        <v>255551.53</v>
      </c>
      <c r="AA57" s="71"/>
      <c r="AB57" s="108"/>
      <c r="AC57" s="9">
        <v>255551.53</v>
      </c>
      <c r="AD57" s="9"/>
      <c r="AE57" s="10"/>
      <c r="AF57" s="24">
        <v>0</v>
      </c>
      <c r="AG57" s="11">
        <v>1644624.18</v>
      </c>
      <c r="AH57" s="8">
        <v>1446998.18</v>
      </c>
      <c r="AI57" s="9">
        <v>197626</v>
      </c>
      <c r="AJ57" s="9">
        <v>197626</v>
      </c>
      <c r="AK57" s="10"/>
      <c r="AL57" s="11"/>
      <c r="AM57" s="8">
        <v>112761.71</v>
      </c>
      <c r="AN57" s="9"/>
      <c r="AO57" s="9"/>
      <c r="AP57" s="10"/>
      <c r="AQ57" s="25"/>
      <c r="AR57" s="25"/>
      <c r="AS57" s="25"/>
      <c r="AT57" s="10"/>
      <c r="AU57" s="12">
        <v>1815311.42</v>
      </c>
      <c r="AV57" s="12"/>
      <c r="AW57" s="12"/>
      <c r="AX57" s="242"/>
      <c r="AY57" s="243"/>
      <c r="AZ57" s="242"/>
      <c r="BA57" s="242"/>
      <c r="BB57" s="244"/>
      <c r="BC57" s="243" t="s">
        <v>630</v>
      </c>
      <c r="BD57" s="243" t="s">
        <v>630</v>
      </c>
      <c r="BE57" s="15">
        <v>1815311.42</v>
      </c>
      <c r="BF57" s="15">
        <v>1559759.89</v>
      </c>
      <c r="BG57" s="15">
        <v>255551.53</v>
      </c>
      <c r="BH57" s="15">
        <v>1815311.42</v>
      </c>
      <c r="BI57" s="15">
        <v>1559759.89</v>
      </c>
      <c r="BJ57" s="242">
        <v>0</v>
      </c>
      <c r="BK57" s="242">
        <v>255551.53</v>
      </c>
      <c r="BL57" s="242"/>
      <c r="BM57" s="242">
        <v>2</v>
      </c>
      <c r="BN57" s="242">
        <v>255551.53000000003</v>
      </c>
      <c r="BO57" s="242">
        <v>0</v>
      </c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94">
        <v>255551.53</v>
      </c>
      <c r="CC57" s="246" t="s">
        <v>634</v>
      </c>
      <c r="CD57" s="242">
        <v>0</v>
      </c>
      <c r="CE57" s="242">
        <v>1446998.18</v>
      </c>
      <c r="CF57" s="242">
        <v>0</v>
      </c>
      <c r="CG57" s="242">
        <v>1446998.18</v>
      </c>
      <c r="CH57" s="242">
        <v>0</v>
      </c>
      <c r="CI57" s="247" t="s">
        <v>633</v>
      </c>
      <c r="CJ57" s="248">
        <v>1559759.89</v>
      </c>
      <c r="CK57" s="248">
        <v>112761.71</v>
      </c>
      <c r="CL57" s="248">
        <v>1815311.42</v>
      </c>
      <c r="CM57" s="248">
        <v>0</v>
      </c>
    </row>
    <row r="58" spans="1:91" x14ac:dyDescent="0.25">
      <c r="A58" s="231" t="s">
        <v>738</v>
      </c>
      <c r="B58" s="232" t="s">
        <v>739</v>
      </c>
      <c r="C58" s="232" t="s">
        <v>643</v>
      </c>
      <c r="D58" s="233"/>
      <c r="E58" s="234">
        <v>1095780</v>
      </c>
      <c r="F58" s="235">
        <v>1095780</v>
      </c>
      <c r="G58" s="236"/>
      <c r="H58" s="237"/>
      <c r="I58" s="238">
        <v>1095780</v>
      </c>
      <c r="J58" s="239"/>
      <c r="K58" s="240"/>
      <c r="L58" s="8">
        <v>787770.15</v>
      </c>
      <c r="M58" s="241">
        <v>787770.15</v>
      </c>
      <c r="N58" s="71"/>
      <c r="O58" s="100"/>
      <c r="P58" s="9"/>
      <c r="Q58" s="9"/>
      <c r="R58" s="9"/>
      <c r="S58" s="152">
        <v>45688</v>
      </c>
      <c r="T58" s="10"/>
      <c r="U58" s="23"/>
      <c r="V58" s="11"/>
      <c r="W58" s="11"/>
      <c r="X58" s="8">
        <v>787770.15</v>
      </c>
      <c r="Y58" s="9"/>
      <c r="Z58" s="70">
        <v>0</v>
      </c>
      <c r="AA58" s="71"/>
      <c r="AB58" s="108"/>
      <c r="AC58" s="9"/>
      <c r="AD58" s="9"/>
      <c r="AE58" s="10"/>
      <c r="AF58" s="24">
        <v>0</v>
      </c>
      <c r="AG58" s="11">
        <v>1052840.06</v>
      </c>
      <c r="AH58" s="8">
        <v>787770.15</v>
      </c>
      <c r="AI58" s="9">
        <v>265069.90999999997</v>
      </c>
      <c r="AJ58" s="9">
        <v>265069.90999999997</v>
      </c>
      <c r="AK58" s="10"/>
      <c r="AL58" s="11"/>
      <c r="AM58" s="8">
        <v>0</v>
      </c>
      <c r="AN58" s="9"/>
      <c r="AO58" s="9"/>
      <c r="AP58" s="10"/>
      <c r="AQ58" s="25"/>
      <c r="AR58" s="25"/>
      <c r="AS58" s="25"/>
      <c r="AT58" s="10"/>
      <c r="AU58" s="12">
        <v>1052840.06</v>
      </c>
      <c r="AV58" s="12"/>
      <c r="AW58" s="12"/>
      <c r="AX58" s="242"/>
      <c r="AY58" s="243"/>
      <c r="AZ58" s="242"/>
      <c r="BA58" s="242"/>
      <c r="BB58" s="244"/>
      <c r="BC58" s="243"/>
      <c r="BD58" s="243"/>
      <c r="BE58" s="242">
        <v>0</v>
      </c>
      <c r="BF58" s="242">
        <v>0</v>
      </c>
      <c r="BG58" s="242">
        <v>0</v>
      </c>
      <c r="BH58" s="242">
        <v>0</v>
      </c>
      <c r="BI58" s="242">
        <v>0</v>
      </c>
      <c r="BJ58" s="242">
        <v>0</v>
      </c>
      <c r="BK58" s="242">
        <v>0</v>
      </c>
      <c r="BL58" s="242"/>
      <c r="BM58" s="242">
        <v>2</v>
      </c>
      <c r="BN58" s="242">
        <v>0</v>
      </c>
      <c r="BO58" s="242">
        <v>0</v>
      </c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>
        <v>0</v>
      </c>
      <c r="CE58" s="242">
        <v>787770.15</v>
      </c>
      <c r="CF58" s="242">
        <v>0</v>
      </c>
      <c r="CG58" s="242">
        <v>787770.15</v>
      </c>
      <c r="CH58" s="242">
        <v>0</v>
      </c>
      <c r="CI58" s="247" t="s">
        <v>633</v>
      </c>
      <c r="CJ58" s="248">
        <v>787770.15</v>
      </c>
      <c r="CK58" s="248">
        <v>0</v>
      </c>
      <c r="CL58" s="248">
        <v>1052840.06</v>
      </c>
      <c r="CM58" s="248">
        <v>0</v>
      </c>
    </row>
    <row r="59" spans="1:91" x14ac:dyDescent="0.25">
      <c r="A59" s="231" t="s">
        <v>740</v>
      </c>
      <c r="B59" s="232" t="s">
        <v>741</v>
      </c>
      <c r="C59" s="232" t="s">
        <v>652</v>
      </c>
      <c r="D59" s="233"/>
      <c r="E59" s="234">
        <v>218864</v>
      </c>
      <c r="F59" s="235">
        <v>218864</v>
      </c>
      <c r="G59" s="236"/>
      <c r="H59" s="237"/>
      <c r="I59" s="238">
        <v>218864.46</v>
      </c>
      <c r="J59" s="239"/>
      <c r="K59" s="240"/>
      <c r="L59" s="8">
        <v>148033.29999999999</v>
      </c>
      <c r="M59" s="241">
        <v>148033.12</v>
      </c>
      <c r="N59" s="71"/>
      <c r="O59" s="100"/>
      <c r="P59" s="9"/>
      <c r="Q59" s="9">
        <v>70831.34</v>
      </c>
      <c r="R59" s="9"/>
      <c r="S59" s="152">
        <v>45838</v>
      </c>
      <c r="T59" s="10"/>
      <c r="U59" s="23"/>
      <c r="V59" s="11"/>
      <c r="W59" s="11"/>
      <c r="X59" s="8">
        <v>148033.12</v>
      </c>
      <c r="Y59" s="9"/>
      <c r="Z59" s="70">
        <v>70831.34</v>
      </c>
      <c r="AA59" s="71"/>
      <c r="AB59" s="108"/>
      <c r="AC59" s="9">
        <v>70831.34</v>
      </c>
      <c r="AD59" s="9"/>
      <c r="AE59" s="10"/>
      <c r="AF59" s="24">
        <v>0</v>
      </c>
      <c r="AG59" s="11">
        <v>86997.46</v>
      </c>
      <c r="AH59" s="8">
        <v>76295.460000000006</v>
      </c>
      <c r="AI59" s="9">
        <v>10702</v>
      </c>
      <c r="AJ59" s="9">
        <v>10702</v>
      </c>
      <c r="AK59" s="10"/>
      <c r="AL59" s="11"/>
      <c r="AM59" s="8">
        <v>71737.66</v>
      </c>
      <c r="AN59" s="9"/>
      <c r="AO59" s="9"/>
      <c r="AP59" s="10"/>
      <c r="AQ59" s="25"/>
      <c r="AR59" s="25"/>
      <c r="AS59" s="25"/>
      <c r="AT59" s="10"/>
      <c r="AU59" s="12">
        <v>218864.46</v>
      </c>
      <c r="AV59" s="12"/>
      <c r="AW59" s="12"/>
      <c r="AX59" s="242"/>
      <c r="AY59" s="243"/>
      <c r="AZ59" s="242"/>
      <c r="BA59" s="242"/>
      <c r="BB59" s="244"/>
      <c r="BC59" s="243" t="s">
        <v>630</v>
      </c>
      <c r="BD59" s="243" t="s">
        <v>630</v>
      </c>
      <c r="BE59" s="15">
        <v>218864.46</v>
      </c>
      <c r="BF59" s="15">
        <v>148033.12</v>
      </c>
      <c r="BG59" s="15">
        <v>70831.34</v>
      </c>
      <c r="BH59" s="15">
        <v>218864.46</v>
      </c>
      <c r="BI59" s="15">
        <v>148033.12</v>
      </c>
      <c r="BJ59" s="242">
        <v>0</v>
      </c>
      <c r="BK59" s="242">
        <v>70831.34</v>
      </c>
      <c r="BL59" s="242"/>
      <c r="BM59" s="242">
        <v>2</v>
      </c>
      <c r="BN59" s="242">
        <v>70831.34</v>
      </c>
      <c r="BO59" s="242">
        <v>0</v>
      </c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94">
        <v>70831.34</v>
      </c>
      <c r="CC59" s="246" t="s">
        <v>634</v>
      </c>
      <c r="CD59" s="242">
        <v>0</v>
      </c>
      <c r="CE59" s="242">
        <v>76295.460000000006</v>
      </c>
      <c r="CF59" s="242">
        <v>0</v>
      </c>
      <c r="CG59" s="242">
        <v>76295.460000000006</v>
      </c>
      <c r="CH59" s="242">
        <v>0</v>
      </c>
      <c r="CI59" s="247" t="s">
        <v>633</v>
      </c>
      <c r="CJ59" s="248">
        <v>148033.12</v>
      </c>
      <c r="CK59" s="248">
        <v>71737.66</v>
      </c>
      <c r="CL59" s="248">
        <v>218864.46</v>
      </c>
      <c r="CM59" s="248">
        <v>0</v>
      </c>
    </row>
    <row r="60" spans="1:91" x14ac:dyDescent="0.25">
      <c r="A60" s="231" t="s">
        <v>742</v>
      </c>
      <c r="B60" s="232" t="s">
        <v>743</v>
      </c>
      <c r="C60" s="232" t="s">
        <v>649</v>
      </c>
      <c r="D60" s="233"/>
      <c r="E60" s="234">
        <v>5295547.2699999996</v>
      </c>
      <c r="F60" s="235">
        <v>5256236.75</v>
      </c>
      <c r="G60" s="236"/>
      <c r="H60" s="237"/>
      <c r="I60" s="238">
        <v>5256236.75</v>
      </c>
      <c r="J60" s="239"/>
      <c r="K60" s="240"/>
      <c r="L60" s="8">
        <v>3701057.02</v>
      </c>
      <c r="M60" s="241">
        <v>3710503.27</v>
      </c>
      <c r="N60" s="71"/>
      <c r="O60" s="100"/>
      <c r="P60" s="9"/>
      <c r="Q60" s="9">
        <v>1545733.48</v>
      </c>
      <c r="R60" s="9"/>
      <c r="S60" s="152">
        <v>45838</v>
      </c>
      <c r="T60" s="10"/>
      <c r="U60" s="23"/>
      <c r="V60" s="11"/>
      <c r="W60" s="11"/>
      <c r="X60" s="8">
        <v>3710503.27</v>
      </c>
      <c r="Y60" s="9"/>
      <c r="Z60" s="70">
        <v>1545733.48</v>
      </c>
      <c r="AA60" s="71"/>
      <c r="AB60" s="108"/>
      <c r="AC60" s="9">
        <v>1545733.48</v>
      </c>
      <c r="AD60" s="9"/>
      <c r="AE60" s="10"/>
      <c r="AF60" s="24">
        <v>0</v>
      </c>
      <c r="AG60" s="11">
        <v>3440677.03</v>
      </c>
      <c r="AH60" s="8">
        <v>2596067.0299999998</v>
      </c>
      <c r="AI60" s="9">
        <v>844610</v>
      </c>
      <c r="AJ60" s="9">
        <v>844610</v>
      </c>
      <c r="AK60" s="10"/>
      <c r="AL60" s="11"/>
      <c r="AM60" s="8">
        <v>1114436.24</v>
      </c>
      <c r="AN60" s="9"/>
      <c r="AO60" s="9"/>
      <c r="AP60" s="10"/>
      <c r="AQ60" s="25"/>
      <c r="AR60" s="25"/>
      <c r="AS60" s="25"/>
      <c r="AT60" s="10"/>
      <c r="AU60" s="12">
        <v>5256236.75</v>
      </c>
      <c r="AV60" s="12"/>
      <c r="AW60" s="12"/>
      <c r="AX60" s="242"/>
      <c r="AY60" s="243"/>
      <c r="AZ60" s="242"/>
      <c r="BA60" s="242"/>
      <c r="BB60" s="244"/>
      <c r="BC60" s="243" t="s">
        <v>630</v>
      </c>
      <c r="BD60" s="243" t="s">
        <v>630</v>
      </c>
      <c r="BE60" s="15">
        <v>5256236.75</v>
      </c>
      <c r="BF60" s="15">
        <v>3710503.27</v>
      </c>
      <c r="BG60" s="15">
        <v>1545733.48</v>
      </c>
      <c r="BH60" s="15">
        <v>5256236.75</v>
      </c>
      <c r="BI60" s="15">
        <v>3710503.27</v>
      </c>
      <c r="BJ60" s="242">
        <v>0</v>
      </c>
      <c r="BK60" s="242">
        <v>1545733.48</v>
      </c>
      <c r="BL60" s="242"/>
      <c r="BM60" s="242">
        <v>2</v>
      </c>
      <c r="BN60" s="242">
        <v>1545733.48</v>
      </c>
      <c r="BO60" s="242">
        <v>0</v>
      </c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94">
        <v>1545733.48</v>
      </c>
      <c r="CC60" s="246" t="s">
        <v>634</v>
      </c>
      <c r="CD60" s="242">
        <v>0</v>
      </c>
      <c r="CE60" s="242">
        <v>2596067.0299999998</v>
      </c>
      <c r="CF60" s="242">
        <v>0</v>
      </c>
      <c r="CG60" s="242">
        <v>2596067.0299999998</v>
      </c>
      <c r="CH60" s="242">
        <v>0</v>
      </c>
      <c r="CI60" s="247" t="s">
        <v>633</v>
      </c>
      <c r="CJ60" s="248">
        <v>3710503.27</v>
      </c>
      <c r="CK60" s="248">
        <v>1114436.24</v>
      </c>
      <c r="CL60" s="248">
        <v>5256236.75</v>
      </c>
      <c r="CM60" s="248">
        <v>0</v>
      </c>
    </row>
    <row r="61" spans="1:91" x14ac:dyDescent="0.25">
      <c r="A61" s="231" t="s">
        <v>744</v>
      </c>
      <c r="B61" s="232" t="s">
        <v>745</v>
      </c>
      <c r="C61" s="232" t="s">
        <v>646</v>
      </c>
      <c r="D61" s="233"/>
      <c r="E61" s="234">
        <v>313331.7</v>
      </c>
      <c r="F61" s="235">
        <v>313331.7</v>
      </c>
      <c r="G61" s="236"/>
      <c r="H61" s="237"/>
      <c r="I61" s="238">
        <v>313331.7</v>
      </c>
      <c r="J61" s="239"/>
      <c r="K61" s="240"/>
      <c r="L61" s="8">
        <v>169436.47</v>
      </c>
      <c r="M61" s="241">
        <v>169436.47</v>
      </c>
      <c r="N61" s="71"/>
      <c r="O61" s="100"/>
      <c r="P61" s="9"/>
      <c r="Q61" s="9"/>
      <c r="R61" s="9"/>
      <c r="S61" s="152">
        <v>45688</v>
      </c>
      <c r="T61" s="10"/>
      <c r="U61" s="23"/>
      <c r="V61" s="11"/>
      <c r="W61" s="11"/>
      <c r="X61" s="8">
        <v>169436.47</v>
      </c>
      <c r="Y61" s="9"/>
      <c r="Z61" s="70">
        <v>0</v>
      </c>
      <c r="AA61" s="71"/>
      <c r="AB61" s="108"/>
      <c r="AC61" s="9"/>
      <c r="AD61" s="9"/>
      <c r="AE61" s="10"/>
      <c r="AF61" s="24">
        <v>0</v>
      </c>
      <c r="AG61" s="11">
        <v>259615.85</v>
      </c>
      <c r="AH61" s="8">
        <v>169436.47</v>
      </c>
      <c r="AI61" s="9">
        <v>90179.38</v>
      </c>
      <c r="AJ61" s="9">
        <v>90179.38</v>
      </c>
      <c r="AK61" s="10"/>
      <c r="AL61" s="11"/>
      <c r="AM61" s="8">
        <v>0</v>
      </c>
      <c r="AN61" s="9"/>
      <c r="AO61" s="9"/>
      <c r="AP61" s="10"/>
      <c r="AQ61" s="25"/>
      <c r="AR61" s="25"/>
      <c r="AS61" s="25"/>
      <c r="AT61" s="10"/>
      <c r="AU61" s="12">
        <v>259615.85</v>
      </c>
      <c r="AV61" s="12"/>
      <c r="AW61" s="12"/>
      <c r="AX61" s="242"/>
      <c r="AY61" s="243"/>
      <c r="AZ61" s="242"/>
      <c r="BA61" s="242"/>
      <c r="BB61" s="244"/>
      <c r="BC61" s="243"/>
      <c r="BD61" s="243"/>
      <c r="BE61" s="242">
        <v>0</v>
      </c>
      <c r="BF61" s="242">
        <v>0</v>
      </c>
      <c r="BG61" s="242">
        <v>0</v>
      </c>
      <c r="BH61" s="242">
        <v>0</v>
      </c>
      <c r="BI61" s="242">
        <v>0</v>
      </c>
      <c r="BJ61" s="242">
        <v>0</v>
      </c>
      <c r="BK61" s="242">
        <v>0</v>
      </c>
      <c r="BL61" s="242"/>
      <c r="BM61" s="242">
        <v>2</v>
      </c>
      <c r="BN61" s="242">
        <v>0</v>
      </c>
      <c r="BO61" s="242">
        <v>0</v>
      </c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>
        <v>0</v>
      </c>
      <c r="CE61" s="242">
        <v>169436.47</v>
      </c>
      <c r="CF61" s="242">
        <v>0</v>
      </c>
      <c r="CG61" s="242">
        <v>169436.47</v>
      </c>
      <c r="CH61" s="242">
        <v>0</v>
      </c>
      <c r="CI61" s="247" t="s">
        <v>633</v>
      </c>
      <c r="CJ61" s="248">
        <v>169436.47</v>
      </c>
      <c r="CK61" s="248">
        <v>0</v>
      </c>
      <c r="CL61" s="248">
        <v>259615.85</v>
      </c>
      <c r="CM61" s="248">
        <v>0</v>
      </c>
    </row>
    <row r="62" spans="1:91" x14ac:dyDescent="0.25">
      <c r="A62" s="231" t="s">
        <v>746</v>
      </c>
      <c r="B62" s="232" t="s">
        <v>747</v>
      </c>
      <c r="C62" s="232" t="s">
        <v>643</v>
      </c>
      <c r="D62" s="233"/>
      <c r="E62" s="234">
        <v>2011865.5</v>
      </c>
      <c r="F62" s="235">
        <v>2001595.3</v>
      </c>
      <c r="G62" s="236"/>
      <c r="H62" s="237"/>
      <c r="I62" s="238">
        <v>2001595.3</v>
      </c>
      <c r="J62" s="239"/>
      <c r="K62" s="240"/>
      <c r="L62" s="8">
        <v>1677799.91</v>
      </c>
      <c r="M62" s="241">
        <v>1662799.91</v>
      </c>
      <c r="N62" s="71"/>
      <c r="O62" s="100"/>
      <c r="P62" s="9"/>
      <c r="Q62" s="9">
        <v>338795.39000000013</v>
      </c>
      <c r="R62" s="9"/>
      <c r="S62" s="152">
        <v>45838</v>
      </c>
      <c r="T62" s="10"/>
      <c r="U62" s="23"/>
      <c r="V62" s="11"/>
      <c r="W62" s="11"/>
      <c r="X62" s="8">
        <v>1662799.91</v>
      </c>
      <c r="Y62" s="9"/>
      <c r="Z62" s="70">
        <v>338795.39</v>
      </c>
      <c r="AA62" s="71"/>
      <c r="AB62" s="108"/>
      <c r="AC62" s="9">
        <v>338795.39</v>
      </c>
      <c r="AD62" s="9"/>
      <c r="AE62" s="10"/>
      <c r="AF62" s="24">
        <v>0</v>
      </c>
      <c r="AG62" s="11">
        <v>671482.02</v>
      </c>
      <c r="AH62" s="8">
        <v>567384.02</v>
      </c>
      <c r="AI62" s="9">
        <v>104098</v>
      </c>
      <c r="AJ62" s="9">
        <v>104098</v>
      </c>
      <c r="AK62" s="10"/>
      <c r="AL62" s="11"/>
      <c r="AM62" s="8">
        <v>1095415.8899999999</v>
      </c>
      <c r="AN62" s="9"/>
      <c r="AO62" s="9"/>
      <c r="AP62" s="10"/>
      <c r="AQ62" s="25"/>
      <c r="AR62" s="25"/>
      <c r="AS62" s="25"/>
      <c r="AT62" s="10"/>
      <c r="AU62" s="12">
        <v>2001595.3</v>
      </c>
      <c r="AV62" s="12"/>
      <c r="AW62" s="12"/>
      <c r="AX62" s="242"/>
      <c r="AY62" s="243"/>
      <c r="AZ62" s="242"/>
      <c r="BA62" s="242"/>
      <c r="BB62" s="244"/>
      <c r="BC62" s="243" t="s">
        <v>630</v>
      </c>
      <c r="BD62" s="243" t="s">
        <v>630</v>
      </c>
      <c r="BE62" s="15">
        <v>2001595.3</v>
      </c>
      <c r="BF62" s="15">
        <v>1662799.91</v>
      </c>
      <c r="BG62" s="15">
        <v>338795.39</v>
      </c>
      <c r="BH62" s="15">
        <v>2001595.3</v>
      </c>
      <c r="BI62" s="15">
        <v>1662799.91</v>
      </c>
      <c r="BJ62" s="242">
        <v>0</v>
      </c>
      <c r="BK62" s="242">
        <v>338795.39</v>
      </c>
      <c r="BL62" s="242"/>
      <c r="BM62" s="242">
        <v>2</v>
      </c>
      <c r="BN62" s="242">
        <v>338795.39000000013</v>
      </c>
      <c r="BO62" s="242">
        <v>0</v>
      </c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94">
        <v>338795.39</v>
      </c>
      <c r="CC62" s="246" t="s">
        <v>634</v>
      </c>
      <c r="CD62" s="242">
        <v>0</v>
      </c>
      <c r="CE62" s="242">
        <v>567384.02</v>
      </c>
      <c r="CF62" s="242">
        <v>0</v>
      </c>
      <c r="CG62" s="242">
        <v>567384.02</v>
      </c>
      <c r="CH62" s="242">
        <v>0</v>
      </c>
      <c r="CI62" s="247" t="s">
        <v>633</v>
      </c>
      <c r="CJ62" s="248">
        <v>1662799.91</v>
      </c>
      <c r="CK62" s="248">
        <v>1095415.8899999999</v>
      </c>
      <c r="CL62" s="248">
        <v>2001595.3</v>
      </c>
      <c r="CM62" s="248">
        <v>0</v>
      </c>
    </row>
    <row r="63" spans="1:91" x14ac:dyDescent="0.25">
      <c r="A63" s="231" t="s">
        <v>748</v>
      </c>
      <c r="B63" s="232" t="s">
        <v>749</v>
      </c>
      <c r="C63" s="232" t="s">
        <v>636</v>
      </c>
      <c r="D63" s="233"/>
      <c r="E63" s="234">
        <v>54108.18</v>
      </c>
      <c r="F63" s="235">
        <v>54108.18</v>
      </c>
      <c r="G63" s="236"/>
      <c r="H63" s="237"/>
      <c r="I63" s="238">
        <v>54108.18</v>
      </c>
      <c r="J63" s="239"/>
      <c r="K63" s="240"/>
      <c r="L63" s="8">
        <v>43673.23</v>
      </c>
      <c r="M63" s="241">
        <v>43673.23</v>
      </c>
      <c r="N63" s="71"/>
      <c r="O63" s="100"/>
      <c r="P63" s="9"/>
      <c r="Q63" s="9"/>
      <c r="R63" s="9"/>
      <c r="S63" s="152">
        <v>45657</v>
      </c>
      <c r="T63" s="10"/>
      <c r="U63" s="23"/>
      <c r="V63" s="11"/>
      <c r="W63" s="11"/>
      <c r="X63" s="8">
        <v>42749.52</v>
      </c>
      <c r="Y63" s="9"/>
      <c r="Z63" s="70">
        <v>0</v>
      </c>
      <c r="AA63" s="71"/>
      <c r="AB63" s="108"/>
      <c r="AC63" s="9"/>
      <c r="AD63" s="9"/>
      <c r="AE63" s="10"/>
      <c r="AF63" s="24">
        <v>0</v>
      </c>
      <c r="AG63" s="11">
        <v>54108.179999999993</v>
      </c>
      <c r="AH63" s="8">
        <v>42749.52</v>
      </c>
      <c r="AI63" s="9">
        <v>11358.66</v>
      </c>
      <c r="AJ63" s="9">
        <v>11358.66</v>
      </c>
      <c r="AK63" s="10"/>
      <c r="AL63" s="11"/>
      <c r="AM63" s="8">
        <v>0</v>
      </c>
      <c r="AN63" s="9"/>
      <c r="AO63" s="9"/>
      <c r="AP63" s="10"/>
      <c r="AQ63" s="25"/>
      <c r="AR63" s="25"/>
      <c r="AS63" s="25"/>
      <c r="AT63" s="10"/>
      <c r="AU63" s="12">
        <v>54108.18</v>
      </c>
      <c r="AV63" s="12"/>
      <c r="AW63" s="12"/>
      <c r="AX63" s="242"/>
      <c r="AY63" s="243"/>
      <c r="AZ63" s="242"/>
      <c r="BA63" s="242"/>
      <c r="BB63" s="244"/>
      <c r="BC63" s="243"/>
      <c r="BD63" s="243"/>
      <c r="BE63" s="242">
        <v>0</v>
      </c>
      <c r="BF63" s="242">
        <v>0</v>
      </c>
      <c r="BG63" s="242">
        <v>0</v>
      </c>
      <c r="BH63" s="242">
        <v>0</v>
      </c>
      <c r="BI63" s="242">
        <v>0</v>
      </c>
      <c r="BJ63" s="242">
        <v>0</v>
      </c>
      <c r="BK63" s="242">
        <v>0</v>
      </c>
      <c r="BL63" s="242"/>
      <c r="BM63" s="242">
        <v>2</v>
      </c>
      <c r="BN63" s="242">
        <v>0</v>
      </c>
      <c r="BO63" s="242">
        <v>0</v>
      </c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>
        <v>0</v>
      </c>
      <c r="CE63" s="242">
        <v>42749.52</v>
      </c>
      <c r="CF63" s="242">
        <v>0</v>
      </c>
      <c r="CG63" s="242">
        <v>42749.52</v>
      </c>
      <c r="CH63" s="242">
        <v>0</v>
      </c>
      <c r="CI63" s="247" t="s">
        <v>633</v>
      </c>
      <c r="CJ63" s="248">
        <v>42749.52</v>
      </c>
      <c r="CK63" s="248">
        <v>0</v>
      </c>
      <c r="CL63" s="248">
        <v>54108.18</v>
      </c>
      <c r="CM63" s="248">
        <v>0</v>
      </c>
    </row>
    <row r="64" spans="1:91" x14ac:dyDescent="0.25">
      <c r="A64" s="231" t="s">
        <v>750</v>
      </c>
      <c r="B64" s="232" t="s">
        <v>751</v>
      </c>
      <c r="C64" s="232" t="s">
        <v>636</v>
      </c>
      <c r="D64" s="233"/>
      <c r="E64" s="234">
        <v>94020</v>
      </c>
      <c r="F64" s="235">
        <v>94020</v>
      </c>
      <c r="G64" s="236"/>
      <c r="H64" s="237"/>
      <c r="I64" s="238">
        <v>94020</v>
      </c>
      <c r="J64" s="239"/>
      <c r="K64" s="240"/>
      <c r="L64" s="8">
        <v>0</v>
      </c>
      <c r="M64" s="241">
        <v>0</v>
      </c>
      <c r="N64" s="71"/>
      <c r="O64" s="100"/>
      <c r="P64" s="9"/>
      <c r="Q64" s="9"/>
      <c r="R64" s="9"/>
      <c r="S64" s="152">
        <v>45961</v>
      </c>
      <c r="T64" s="10"/>
      <c r="U64" s="23"/>
      <c r="V64" s="11"/>
      <c r="W64" s="11"/>
      <c r="X64" s="8">
        <v>0</v>
      </c>
      <c r="Y64" s="9"/>
      <c r="Z64" s="70">
        <v>0</v>
      </c>
      <c r="AA64" s="71"/>
      <c r="AB64" s="108"/>
      <c r="AC64" s="9"/>
      <c r="AD64" s="9"/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/>
      <c r="AM64" s="8">
        <v>0</v>
      </c>
      <c r="AN64" s="9"/>
      <c r="AO64" s="9"/>
      <c r="AP64" s="10"/>
      <c r="AQ64" s="25"/>
      <c r="AR64" s="25"/>
      <c r="AS64" s="25"/>
      <c r="AT64" s="10"/>
      <c r="AU64" s="12">
        <v>0</v>
      </c>
      <c r="AV64" s="12"/>
      <c r="AW64" s="12"/>
      <c r="AX64" s="242"/>
      <c r="AY64" s="243"/>
      <c r="AZ64" s="242"/>
      <c r="BA64" s="242"/>
      <c r="BB64" s="244"/>
      <c r="BC64" s="243"/>
      <c r="BD64" s="243"/>
      <c r="BE64" s="242">
        <v>0</v>
      </c>
      <c r="BF64" s="242">
        <v>0</v>
      </c>
      <c r="BG64" s="242">
        <v>0</v>
      </c>
      <c r="BH64" s="242">
        <v>0</v>
      </c>
      <c r="BI64" s="242">
        <v>0</v>
      </c>
      <c r="BJ64" s="242">
        <v>0</v>
      </c>
      <c r="BK64" s="242">
        <v>0</v>
      </c>
      <c r="BL64" s="242"/>
      <c r="BM64" s="242">
        <v>2</v>
      </c>
      <c r="BN64" s="242">
        <v>0</v>
      </c>
      <c r="BO64" s="242">
        <v>0</v>
      </c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>
        <v>0</v>
      </c>
      <c r="CE64" s="242">
        <v>0</v>
      </c>
      <c r="CF64" s="242">
        <v>0</v>
      </c>
      <c r="CG64" s="242">
        <v>0</v>
      </c>
      <c r="CH64" s="242">
        <v>0</v>
      </c>
      <c r="CI64" s="247" t="s">
        <v>633</v>
      </c>
      <c r="CJ64" s="248">
        <v>0</v>
      </c>
      <c r="CK64" s="248">
        <v>0</v>
      </c>
      <c r="CL64" s="248">
        <v>0</v>
      </c>
      <c r="CM64" s="248">
        <v>0</v>
      </c>
    </row>
    <row r="65" spans="1:91" x14ac:dyDescent="0.25">
      <c r="A65" s="231" t="s">
        <v>752</v>
      </c>
      <c r="B65" s="232" t="s">
        <v>753</v>
      </c>
      <c r="C65" s="232" t="s">
        <v>643</v>
      </c>
      <c r="D65" s="233"/>
      <c r="E65" s="234">
        <v>594797.51</v>
      </c>
      <c r="F65" s="235">
        <v>744312.72</v>
      </c>
      <c r="G65" s="236"/>
      <c r="H65" s="237"/>
      <c r="I65" s="238">
        <v>734312.72</v>
      </c>
      <c r="J65" s="239"/>
      <c r="K65" s="240"/>
      <c r="L65" s="8">
        <v>456380.57</v>
      </c>
      <c r="M65" s="241">
        <v>454068.72</v>
      </c>
      <c r="N65" s="71"/>
      <c r="O65" s="100"/>
      <c r="P65" s="9"/>
      <c r="Q65" s="9">
        <v>280244</v>
      </c>
      <c r="R65" s="9"/>
      <c r="S65" s="152">
        <v>45777</v>
      </c>
      <c r="T65" s="10"/>
      <c r="U65" s="23"/>
      <c r="V65" s="11"/>
      <c r="W65" s="11"/>
      <c r="X65" s="8">
        <v>454068.72</v>
      </c>
      <c r="Y65" s="9"/>
      <c r="Z65" s="70">
        <v>280244</v>
      </c>
      <c r="AA65" s="71"/>
      <c r="AB65" s="108"/>
      <c r="AC65" s="9">
        <v>280244</v>
      </c>
      <c r="AD65" s="9"/>
      <c r="AE65" s="10"/>
      <c r="AF65" s="24">
        <v>0</v>
      </c>
      <c r="AG65" s="11">
        <v>433485.14</v>
      </c>
      <c r="AH65" s="8">
        <v>338741.14</v>
      </c>
      <c r="AI65" s="9">
        <v>94744</v>
      </c>
      <c r="AJ65" s="9">
        <v>94744</v>
      </c>
      <c r="AK65" s="10"/>
      <c r="AL65" s="11"/>
      <c r="AM65" s="8">
        <v>115327.58</v>
      </c>
      <c r="AN65" s="9"/>
      <c r="AO65" s="9"/>
      <c r="AP65" s="10"/>
      <c r="AQ65" s="25"/>
      <c r="AR65" s="25"/>
      <c r="AS65" s="25"/>
      <c r="AT65" s="10"/>
      <c r="AU65" s="12">
        <v>734312.72</v>
      </c>
      <c r="AV65" s="12"/>
      <c r="AW65" s="12"/>
      <c r="AX65" s="242"/>
      <c r="AY65" s="243"/>
      <c r="AZ65" s="242"/>
      <c r="BA65" s="242"/>
      <c r="BB65" s="244"/>
      <c r="BC65" s="243" t="s">
        <v>630</v>
      </c>
      <c r="BD65" s="243" t="s">
        <v>630</v>
      </c>
      <c r="BE65" s="15">
        <v>734312.72</v>
      </c>
      <c r="BF65" s="15">
        <v>454068.72</v>
      </c>
      <c r="BG65" s="15">
        <v>280244</v>
      </c>
      <c r="BH65" s="15">
        <v>734312.72</v>
      </c>
      <c r="BI65" s="15">
        <v>454068.72</v>
      </c>
      <c r="BJ65" s="242">
        <v>0</v>
      </c>
      <c r="BK65" s="242">
        <v>280244</v>
      </c>
      <c r="BL65" s="242"/>
      <c r="BM65" s="242">
        <v>2</v>
      </c>
      <c r="BN65" s="242">
        <v>280244</v>
      </c>
      <c r="BO65" s="242">
        <v>0</v>
      </c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94">
        <v>280244</v>
      </c>
      <c r="CC65" s="246" t="s">
        <v>634</v>
      </c>
      <c r="CD65" s="242">
        <v>0</v>
      </c>
      <c r="CE65" s="242">
        <v>338741.14</v>
      </c>
      <c r="CF65" s="242">
        <v>0</v>
      </c>
      <c r="CG65" s="242">
        <v>338741.14</v>
      </c>
      <c r="CH65" s="242">
        <v>0</v>
      </c>
      <c r="CI65" s="247" t="s">
        <v>633</v>
      </c>
      <c r="CJ65" s="248">
        <v>454068.72</v>
      </c>
      <c r="CK65" s="248">
        <v>115327.58</v>
      </c>
      <c r="CL65" s="248">
        <v>734312.72</v>
      </c>
      <c r="CM65" s="248">
        <v>0</v>
      </c>
    </row>
    <row r="66" spans="1:91" x14ac:dyDescent="0.25">
      <c r="A66" s="231" t="s">
        <v>754</v>
      </c>
      <c r="B66" s="232" t="s">
        <v>755</v>
      </c>
      <c r="C66" s="232" t="s">
        <v>646</v>
      </c>
      <c r="D66" s="233"/>
      <c r="E66" s="234">
        <v>178520</v>
      </c>
      <c r="F66" s="235">
        <v>178520</v>
      </c>
      <c r="G66" s="236"/>
      <c r="H66" s="237"/>
      <c r="I66" s="238">
        <v>178520</v>
      </c>
      <c r="J66" s="239"/>
      <c r="K66" s="240"/>
      <c r="L66" s="8">
        <v>128093.26</v>
      </c>
      <c r="M66" s="241">
        <v>128093.26</v>
      </c>
      <c r="N66" s="239"/>
      <c r="O66" s="240"/>
      <c r="P66" s="9"/>
      <c r="Q66" s="9">
        <v>50426.740000000005</v>
      </c>
      <c r="R66" s="9"/>
      <c r="S66" s="152">
        <v>45838</v>
      </c>
      <c r="T66" s="10"/>
      <c r="U66" s="23"/>
      <c r="V66" s="11"/>
      <c r="W66" s="11"/>
      <c r="X66" s="8">
        <v>128093.26</v>
      </c>
      <c r="Y66" s="9"/>
      <c r="Z66" s="70">
        <v>50426.74</v>
      </c>
      <c r="AA66" s="71"/>
      <c r="AB66" s="108"/>
      <c r="AC66" s="9">
        <v>50426.74</v>
      </c>
      <c r="AD66" s="9"/>
      <c r="AE66" s="10"/>
      <c r="AF66" s="24">
        <v>0</v>
      </c>
      <c r="AG66" s="11">
        <v>4072.71</v>
      </c>
      <c r="AH66" s="8">
        <v>4072.71</v>
      </c>
      <c r="AI66" s="9">
        <v>0</v>
      </c>
      <c r="AJ66" s="9">
        <v>0</v>
      </c>
      <c r="AK66" s="10"/>
      <c r="AL66" s="11"/>
      <c r="AM66" s="8">
        <v>124020.55</v>
      </c>
      <c r="AN66" s="9"/>
      <c r="AO66" s="9"/>
      <c r="AP66" s="10"/>
      <c r="AQ66" s="25"/>
      <c r="AR66" s="25"/>
      <c r="AS66" s="25"/>
      <c r="AT66" s="10"/>
      <c r="AU66" s="12">
        <v>178520</v>
      </c>
      <c r="AV66" s="12"/>
      <c r="AW66" s="12"/>
      <c r="AX66" s="242"/>
      <c r="AY66" s="243"/>
      <c r="AZ66" s="242"/>
      <c r="BA66" s="242"/>
      <c r="BB66" s="244"/>
      <c r="BC66" s="243" t="s">
        <v>630</v>
      </c>
      <c r="BD66" s="243" t="s">
        <v>630</v>
      </c>
      <c r="BE66" s="15">
        <v>178520</v>
      </c>
      <c r="BF66" s="15">
        <v>128093.26</v>
      </c>
      <c r="BG66" s="15">
        <v>50426.74</v>
      </c>
      <c r="BH66" s="15">
        <v>178520</v>
      </c>
      <c r="BI66" s="15">
        <v>128093.26</v>
      </c>
      <c r="BJ66" s="242">
        <v>0</v>
      </c>
      <c r="BK66" s="242">
        <v>50426.74</v>
      </c>
      <c r="BL66" s="242"/>
      <c r="BM66" s="242">
        <v>2</v>
      </c>
      <c r="BN66" s="242">
        <v>50426.740000000005</v>
      </c>
      <c r="BO66" s="242">
        <v>0</v>
      </c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94">
        <v>50426.74</v>
      </c>
      <c r="CC66" s="246" t="s">
        <v>634</v>
      </c>
      <c r="CD66" s="242">
        <v>0</v>
      </c>
      <c r="CE66" s="242">
        <v>4072.71</v>
      </c>
      <c r="CF66" s="242">
        <v>0</v>
      </c>
      <c r="CG66" s="242">
        <v>4072.71</v>
      </c>
      <c r="CH66" s="242">
        <v>0</v>
      </c>
      <c r="CI66" s="247" t="s">
        <v>633</v>
      </c>
      <c r="CJ66" s="248">
        <v>128093.26</v>
      </c>
      <c r="CK66" s="248">
        <v>124020.55</v>
      </c>
      <c r="CL66" s="248">
        <v>178520</v>
      </c>
      <c r="CM66" s="248">
        <v>0</v>
      </c>
    </row>
    <row r="67" spans="1:91" x14ac:dyDescent="0.25">
      <c r="A67" s="231" t="s">
        <v>756</v>
      </c>
      <c r="B67" s="232" t="s">
        <v>757</v>
      </c>
      <c r="C67" s="232" t="s">
        <v>646</v>
      </c>
      <c r="D67" s="233"/>
      <c r="E67" s="234">
        <v>3650.84</v>
      </c>
      <c r="F67" s="235">
        <v>3650.84</v>
      </c>
      <c r="G67" s="236"/>
      <c r="H67" s="237"/>
      <c r="I67" s="238">
        <v>3650.84</v>
      </c>
      <c r="J67" s="239"/>
      <c r="K67" s="240"/>
      <c r="L67" s="8">
        <v>3081.58</v>
      </c>
      <c r="M67" s="241">
        <v>3081.58</v>
      </c>
      <c r="N67" s="71"/>
      <c r="O67" s="100"/>
      <c r="P67" s="9"/>
      <c r="Q67" s="9">
        <v>569.26000000000022</v>
      </c>
      <c r="R67" s="9"/>
      <c r="S67" s="152">
        <v>45777</v>
      </c>
      <c r="T67" s="10"/>
      <c r="U67" s="23"/>
      <c r="V67" s="11"/>
      <c r="W67" s="11"/>
      <c r="X67" s="8">
        <v>3081.58</v>
      </c>
      <c r="Y67" s="9"/>
      <c r="Z67" s="70">
        <v>569.26</v>
      </c>
      <c r="AA67" s="71"/>
      <c r="AB67" s="108"/>
      <c r="AC67" s="9">
        <v>569.26</v>
      </c>
      <c r="AD67" s="9"/>
      <c r="AE67" s="10"/>
      <c r="AF67" s="24">
        <v>0</v>
      </c>
      <c r="AG67" s="11">
        <v>1479.96</v>
      </c>
      <c r="AH67" s="8">
        <v>1479.96</v>
      </c>
      <c r="AI67" s="9">
        <v>0</v>
      </c>
      <c r="AJ67" s="9">
        <v>0</v>
      </c>
      <c r="AK67" s="10"/>
      <c r="AL67" s="11"/>
      <c r="AM67" s="8">
        <v>1601.62</v>
      </c>
      <c r="AN67" s="9"/>
      <c r="AO67" s="9"/>
      <c r="AP67" s="10"/>
      <c r="AQ67" s="25"/>
      <c r="AR67" s="25"/>
      <c r="AS67" s="25"/>
      <c r="AT67" s="10"/>
      <c r="AU67" s="12">
        <v>3650.84</v>
      </c>
      <c r="AV67" s="12"/>
      <c r="AW67" s="12"/>
      <c r="AX67" s="242"/>
      <c r="AY67" s="243"/>
      <c r="AZ67" s="242"/>
      <c r="BA67" s="242"/>
      <c r="BB67" s="244"/>
      <c r="BC67" s="243" t="s">
        <v>630</v>
      </c>
      <c r="BD67" s="243" t="s">
        <v>630</v>
      </c>
      <c r="BE67" s="15">
        <v>3650.84</v>
      </c>
      <c r="BF67" s="15">
        <v>3081.58</v>
      </c>
      <c r="BG67" s="15">
        <v>569.26</v>
      </c>
      <c r="BH67" s="15">
        <v>3650.84</v>
      </c>
      <c r="BI67" s="15">
        <v>3081.58</v>
      </c>
      <c r="BJ67" s="242">
        <v>0</v>
      </c>
      <c r="BK67" s="242">
        <v>569.26</v>
      </c>
      <c r="BL67" s="242"/>
      <c r="BM67" s="242">
        <v>2</v>
      </c>
      <c r="BN67" s="242">
        <v>569.26000000000022</v>
      </c>
      <c r="BO67" s="242">
        <v>0</v>
      </c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94">
        <v>569.26</v>
      </c>
      <c r="CC67" s="246" t="s">
        <v>634</v>
      </c>
      <c r="CD67" s="242">
        <v>0</v>
      </c>
      <c r="CE67" s="242">
        <v>1479.96</v>
      </c>
      <c r="CF67" s="242">
        <v>0</v>
      </c>
      <c r="CG67" s="242">
        <v>1479.96</v>
      </c>
      <c r="CH67" s="242">
        <v>0</v>
      </c>
      <c r="CI67" s="247" t="s">
        <v>633</v>
      </c>
      <c r="CJ67" s="248">
        <v>3081.58</v>
      </c>
      <c r="CK67" s="248">
        <v>1601.62</v>
      </c>
      <c r="CL67" s="248">
        <v>3650.84</v>
      </c>
      <c r="CM67" s="248">
        <v>0</v>
      </c>
    </row>
    <row r="68" spans="1:91" x14ac:dyDescent="0.25">
      <c r="A68" s="231" t="s">
        <v>758</v>
      </c>
      <c r="B68" s="232" t="s">
        <v>759</v>
      </c>
      <c r="C68" s="232" t="s">
        <v>636</v>
      </c>
      <c r="D68" s="233"/>
      <c r="E68" s="234">
        <v>27855.01</v>
      </c>
      <c r="F68" s="235">
        <v>27855.01</v>
      </c>
      <c r="G68" s="236"/>
      <c r="H68" s="237"/>
      <c r="I68" s="238">
        <v>27855.01</v>
      </c>
      <c r="J68" s="239"/>
      <c r="K68" s="240"/>
      <c r="L68" s="8">
        <v>24418.01</v>
      </c>
      <c r="M68" s="241">
        <v>24418.01</v>
      </c>
      <c r="N68" s="71"/>
      <c r="O68" s="100"/>
      <c r="P68" s="9"/>
      <c r="Q68" s="9"/>
      <c r="R68" s="9"/>
      <c r="S68" s="152">
        <v>45657</v>
      </c>
      <c r="T68" s="10"/>
      <c r="U68" s="23"/>
      <c r="V68" s="11"/>
      <c r="W68" s="11"/>
      <c r="X68" s="8">
        <v>24418.01</v>
      </c>
      <c r="Y68" s="9"/>
      <c r="Z68" s="70">
        <v>0</v>
      </c>
      <c r="AA68" s="71"/>
      <c r="AB68" s="108"/>
      <c r="AC68" s="9"/>
      <c r="AD68" s="9"/>
      <c r="AE68" s="10"/>
      <c r="AF68" s="24">
        <v>0</v>
      </c>
      <c r="AG68" s="11">
        <v>27855.01</v>
      </c>
      <c r="AH68" s="8">
        <v>24418.01</v>
      </c>
      <c r="AI68" s="9">
        <v>3437</v>
      </c>
      <c r="AJ68" s="9">
        <v>3437</v>
      </c>
      <c r="AK68" s="10"/>
      <c r="AL68" s="11"/>
      <c r="AM68" s="8">
        <v>0</v>
      </c>
      <c r="AN68" s="9"/>
      <c r="AO68" s="9"/>
      <c r="AP68" s="10"/>
      <c r="AQ68" s="25"/>
      <c r="AR68" s="25"/>
      <c r="AS68" s="25"/>
      <c r="AT68" s="10"/>
      <c r="AU68" s="12">
        <v>27855.01</v>
      </c>
      <c r="AV68" s="12"/>
      <c r="AW68" s="12"/>
      <c r="AX68" s="242"/>
      <c r="AY68" s="243"/>
      <c r="AZ68" s="242"/>
      <c r="BA68" s="242"/>
      <c r="BB68" s="244"/>
      <c r="BC68" s="243"/>
      <c r="BD68" s="243"/>
      <c r="BE68" s="242">
        <v>0</v>
      </c>
      <c r="BF68" s="242">
        <v>0</v>
      </c>
      <c r="BG68" s="242">
        <v>0</v>
      </c>
      <c r="BH68" s="242">
        <v>0</v>
      </c>
      <c r="BI68" s="242">
        <v>0</v>
      </c>
      <c r="BJ68" s="242">
        <v>0</v>
      </c>
      <c r="BK68" s="242">
        <v>0</v>
      </c>
      <c r="BL68" s="242"/>
      <c r="BM68" s="242">
        <v>2</v>
      </c>
      <c r="BN68" s="242">
        <v>0</v>
      </c>
      <c r="BO68" s="242">
        <v>0</v>
      </c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>
        <v>0</v>
      </c>
      <c r="CE68" s="242">
        <v>24418.01</v>
      </c>
      <c r="CF68" s="242">
        <v>0</v>
      </c>
      <c r="CG68" s="242">
        <v>24418.01</v>
      </c>
      <c r="CH68" s="242">
        <v>0</v>
      </c>
      <c r="CI68" s="247" t="s">
        <v>633</v>
      </c>
      <c r="CJ68" s="248">
        <v>24418.01</v>
      </c>
      <c r="CK68" s="248">
        <v>0</v>
      </c>
      <c r="CL68" s="248">
        <v>27855.01</v>
      </c>
      <c r="CM68" s="248">
        <v>0</v>
      </c>
    </row>
    <row r="69" spans="1:91" x14ac:dyDescent="0.25">
      <c r="A69" s="231" t="s">
        <v>760</v>
      </c>
      <c r="B69" s="232" t="s">
        <v>761</v>
      </c>
      <c r="C69" s="232" t="s">
        <v>636</v>
      </c>
      <c r="D69" s="233"/>
      <c r="E69" s="234">
        <v>3634.44</v>
      </c>
      <c r="F69" s="235">
        <v>3634.44</v>
      </c>
      <c r="G69" s="236"/>
      <c r="H69" s="237"/>
      <c r="I69" s="238">
        <v>3634.44</v>
      </c>
      <c r="J69" s="239"/>
      <c r="K69" s="240"/>
      <c r="L69" s="8">
        <v>2633.99</v>
      </c>
      <c r="M69" s="241">
        <v>2633.99</v>
      </c>
      <c r="N69" s="71"/>
      <c r="O69" s="100"/>
      <c r="P69" s="9"/>
      <c r="Q69" s="9"/>
      <c r="R69" s="9"/>
      <c r="S69" s="152">
        <v>45657</v>
      </c>
      <c r="T69" s="10"/>
      <c r="U69" s="23"/>
      <c r="V69" s="11"/>
      <c r="W69" s="11"/>
      <c r="X69" s="8">
        <v>2633.99</v>
      </c>
      <c r="Y69" s="9"/>
      <c r="Z69" s="70">
        <v>0</v>
      </c>
      <c r="AA69" s="71"/>
      <c r="AB69" s="108"/>
      <c r="AC69" s="9"/>
      <c r="AD69" s="9"/>
      <c r="AE69" s="10"/>
      <c r="AF69" s="24">
        <v>0</v>
      </c>
      <c r="AG69" s="11">
        <v>3634.4399999999996</v>
      </c>
      <c r="AH69" s="8">
        <v>2633.99</v>
      </c>
      <c r="AI69" s="9">
        <v>1000.45</v>
      </c>
      <c r="AJ69" s="9">
        <v>1000.45</v>
      </c>
      <c r="AK69" s="10"/>
      <c r="AL69" s="11"/>
      <c r="AM69" s="8">
        <v>0</v>
      </c>
      <c r="AN69" s="9"/>
      <c r="AO69" s="9"/>
      <c r="AP69" s="10"/>
      <c r="AQ69" s="25"/>
      <c r="AR69" s="25"/>
      <c r="AS69" s="25"/>
      <c r="AT69" s="10"/>
      <c r="AU69" s="12">
        <v>3634.44</v>
      </c>
      <c r="AV69" s="12"/>
      <c r="AW69" s="12"/>
      <c r="AX69" s="242"/>
      <c r="AY69" s="243"/>
      <c r="AZ69" s="242"/>
      <c r="BA69" s="242"/>
      <c r="BB69" s="244"/>
      <c r="BC69" s="243"/>
      <c r="BD69" s="243"/>
      <c r="BE69" s="242">
        <v>0</v>
      </c>
      <c r="BF69" s="242">
        <v>0</v>
      </c>
      <c r="BG69" s="242">
        <v>0</v>
      </c>
      <c r="BH69" s="242">
        <v>0</v>
      </c>
      <c r="BI69" s="242">
        <v>0</v>
      </c>
      <c r="BJ69" s="242">
        <v>0</v>
      </c>
      <c r="BK69" s="242">
        <v>0</v>
      </c>
      <c r="BL69" s="242"/>
      <c r="BM69" s="242">
        <v>2</v>
      </c>
      <c r="BN69" s="242">
        <v>0</v>
      </c>
      <c r="BO69" s="242">
        <v>0</v>
      </c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>
        <v>0</v>
      </c>
      <c r="CE69" s="242">
        <v>2633.99</v>
      </c>
      <c r="CF69" s="242">
        <v>0</v>
      </c>
      <c r="CG69" s="242">
        <v>2633.99</v>
      </c>
      <c r="CH69" s="242">
        <v>0</v>
      </c>
      <c r="CI69" s="247" t="s">
        <v>633</v>
      </c>
      <c r="CJ69" s="248">
        <v>2633.99</v>
      </c>
      <c r="CK69" s="248">
        <v>0</v>
      </c>
      <c r="CL69" s="248">
        <v>3634.44</v>
      </c>
      <c r="CM69" s="248">
        <v>0</v>
      </c>
    </row>
    <row r="70" spans="1:91" x14ac:dyDescent="0.25">
      <c r="A70" s="231" t="s">
        <v>762</v>
      </c>
      <c r="B70" s="232" t="s">
        <v>763</v>
      </c>
      <c r="C70" s="232" t="s">
        <v>636</v>
      </c>
      <c r="D70" s="233"/>
      <c r="E70" s="234">
        <v>11336.3</v>
      </c>
      <c r="F70" s="235">
        <v>11336.3</v>
      </c>
      <c r="G70" s="236"/>
      <c r="H70" s="237"/>
      <c r="I70" s="238">
        <v>11336.3</v>
      </c>
      <c r="J70" s="239"/>
      <c r="K70" s="240"/>
      <c r="L70" s="8">
        <v>11057.5</v>
      </c>
      <c r="M70" s="241">
        <v>11057.5</v>
      </c>
      <c r="N70" s="71"/>
      <c r="O70" s="100"/>
      <c r="P70" s="9"/>
      <c r="Q70" s="9"/>
      <c r="R70" s="9"/>
      <c r="S70" s="152">
        <v>45657</v>
      </c>
      <c r="T70" s="10"/>
      <c r="U70" s="23"/>
      <c r="V70" s="11"/>
      <c r="W70" s="11"/>
      <c r="X70" s="8">
        <v>11057.5</v>
      </c>
      <c r="Y70" s="9"/>
      <c r="Z70" s="70">
        <v>0</v>
      </c>
      <c r="AA70" s="71"/>
      <c r="AB70" s="108"/>
      <c r="AC70" s="9"/>
      <c r="AD70" s="9"/>
      <c r="AE70" s="10"/>
      <c r="AF70" s="24">
        <v>0</v>
      </c>
      <c r="AG70" s="11">
        <v>11336.3</v>
      </c>
      <c r="AH70" s="8">
        <v>11057.5</v>
      </c>
      <c r="AI70" s="9">
        <v>278.8</v>
      </c>
      <c r="AJ70" s="9">
        <v>278.8</v>
      </c>
      <c r="AK70" s="10"/>
      <c r="AL70" s="11"/>
      <c r="AM70" s="8">
        <v>0</v>
      </c>
      <c r="AN70" s="9"/>
      <c r="AO70" s="9"/>
      <c r="AP70" s="10"/>
      <c r="AQ70" s="25"/>
      <c r="AR70" s="25"/>
      <c r="AS70" s="25"/>
      <c r="AT70" s="10"/>
      <c r="AU70" s="12">
        <v>11336.3</v>
      </c>
      <c r="AV70" s="12"/>
      <c r="AW70" s="12"/>
      <c r="AX70" s="242"/>
      <c r="AY70" s="243"/>
      <c r="AZ70" s="242"/>
      <c r="BA70" s="242"/>
      <c r="BB70" s="244"/>
      <c r="BC70" s="243"/>
      <c r="BD70" s="243"/>
      <c r="BE70" s="242">
        <v>0</v>
      </c>
      <c r="BF70" s="242">
        <v>0</v>
      </c>
      <c r="BG70" s="242">
        <v>0</v>
      </c>
      <c r="BH70" s="242">
        <v>0</v>
      </c>
      <c r="BI70" s="242">
        <v>0</v>
      </c>
      <c r="BJ70" s="242">
        <v>0</v>
      </c>
      <c r="BK70" s="242">
        <v>0</v>
      </c>
      <c r="BL70" s="242"/>
      <c r="BM70" s="242">
        <v>2</v>
      </c>
      <c r="BN70" s="242">
        <v>0</v>
      </c>
      <c r="BO70" s="242">
        <v>0</v>
      </c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>
        <v>0</v>
      </c>
      <c r="CE70" s="242">
        <v>11057.5</v>
      </c>
      <c r="CF70" s="242">
        <v>0</v>
      </c>
      <c r="CG70" s="242">
        <v>11057.5</v>
      </c>
      <c r="CH70" s="242">
        <v>0</v>
      </c>
      <c r="CI70" s="247" t="s">
        <v>633</v>
      </c>
      <c r="CJ70" s="248">
        <v>11057.5</v>
      </c>
      <c r="CK70" s="248">
        <v>0</v>
      </c>
      <c r="CL70" s="248">
        <v>11336.3</v>
      </c>
      <c r="CM70" s="248">
        <v>0</v>
      </c>
    </row>
    <row r="71" spans="1:91" x14ac:dyDescent="0.25">
      <c r="A71" s="231" t="s">
        <v>764</v>
      </c>
      <c r="B71" s="232" t="s">
        <v>765</v>
      </c>
      <c r="C71" s="232" t="s">
        <v>636</v>
      </c>
      <c r="D71" s="233"/>
      <c r="E71" s="234">
        <v>798.02</v>
      </c>
      <c r="F71" s="235">
        <v>798.02</v>
      </c>
      <c r="G71" s="236"/>
      <c r="H71" s="237"/>
      <c r="I71" s="238">
        <v>798.02</v>
      </c>
      <c r="J71" s="239"/>
      <c r="K71" s="240"/>
      <c r="L71" s="8">
        <v>869.84</v>
      </c>
      <c r="M71" s="241">
        <v>869.84</v>
      </c>
      <c r="N71" s="71"/>
      <c r="O71" s="100"/>
      <c r="P71" s="9"/>
      <c r="Q71" s="9"/>
      <c r="R71" s="9"/>
      <c r="S71" s="152">
        <v>45657</v>
      </c>
      <c r="T71" s="10"/>
      <c r="U71" s="23"/>
      <c r="V71" s="11"/>
      <c r="W71" s="11"/>
      <c r="X71" s="8">
        <v>869.84</v>
      </c>
      <c r="Y71" s="9"/>
      <c r="Z71" s="70">
        <v>0</v>
      </c>
      <c r="AA71" s="71"/>
      <c r="AB71" s="108"/>
      <c r="AC71" s="9"/>
      <c r="AD71" s="9"/>
      <c r="AE71" s="10"/>
      <c r="AF71" s="24">
        <v>0</v>
      </c>
      <c r="AG71" s="11">
        <v>798.02</v>
      </c>
      <c r="AH71" s="8">
        <v>869.84</v>
      </c>
      <c r="AI71" s="9">
        <v>-71.819999999999993</v>
      </c>
      <c r="AJ71" s="9">
        <v>-71.819999999999993</v>
      </c>
      <c r="AK71" s="10"/>
      <c r="AL71" s="11"/>
      <c r="AM71" s="8">
        <v>0</v>
      </c>
      <c r="AN71" s="9"/>
      <c r="AO71" s="9"/>
      <c r="AP71" s="10"/>
      <c r="AQ71" s="25"/>
      <c r="AR71" s="25"/>
      <c r="AS71" s="25"/>
      <c r="AT71" s="10"/>
      <c r="AU71" s="12">
        <v>798.02</v>
      </c>
      <c r="AV71" s="12"/>
      <c r="AW71" s="12"/>
      <c r="AX71" s="242"/>
      <c r="AY71" s="243"/>
      <c r="AZ71" s="242"/>
      <c r="BA71" s="242"/>
      <c r="BB71" s="244"/>
      <c r="BC71" s="243"/>
      <c r="BD71" s="243"/>
      <c r="BE71" s="242">
        <v>0</v>
      </c>
      <c r="BF71" s="242">
        <v>0</v>
      </c>
      <c r="BG71" s="242">
        <v>0</v>
      </c>
      <c r="BH71" s="242">
        <v>0</v>
      </c>
      <c r="BI71" s="242">
        <v>0</v>
      </c>
      <c r="BJ71" s="242">
        <v>0</v>
      </c>
      <c r="BK71" s="242">
        <v>0</v>
      </c>
      <c r="BL71" s="242"/>
      <c r="BM71" s="242">
        <v>2</v>
      </c>
      <c r="BN71" s="242">
        <v>0</v>
      </c>
      <c r="BO71" s="242">
        <v>0</v>
      </c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>
        <v>0</v>
      </c>
      <c r="CE71" s="242">
        <v>869.84</v>
      </c>
      <c r="CF71" s="242">
        <v>0</v>
      </c>
      <c r="CG71" s="242">
        <v>869.84</v>
      </c>
      <c r="CH71" s="242">
        <v>0</v>
      </c>
      <c r="CI71" s="247" t="s">
        <v>633</v>
      </c>
      <c r="CJ71" s="248">
        <v>869.84</v>
      </c>
      <c r="CK71" s="248">
        <v>0</v>
      </c>
      <c r="CL71" s="248">
        <v>798.02</v>
      </c>
      <c r="CM71" s="248">
        <v>0</v>
      </c>
    </row>
    <row r="72" spans="1:91" x14ac:dyDescent="0.25">
      <c r="A72" s="231" t="s">
        <v>766</v>
      </c>
      <c r="B72" s="232" t="s">
        <v>767</v>
      </c>
      <c r="C72" s="232" t="s">
        <v>646</v>
      </c>
      <c r="D72" s="233"/>
      <c r="E72" s="234">
        <v>117701</v>
      </c>
      <c r="F72" s="235">
        <v>117701</v>
      </c>
      <c r="G72" s="236"/>
      <c r="H72" s="237"/>
      <c r="I72" s="238">
        <v>134976.95000000001</v>
      </c>
      <c r="J72" s="239"/>
      <c r="K72" s="240"/>
      <c r="L72" s="8">
        <v>123728.38</v>
      </c>
      <c r="M72" s="241">
        <v>123728.38</v>
      </c>
      <c r="N72" s="71"/>
      <c r="O72" s="100"/>
      <c r="P72" s="9"/>
      <c r="Q72" s="9">
        <v>10999.999999999985</v>
      </c>
      <c r="R72" s="9"/>
      <c r="S72" s="152">
        <v>46022</v>
      </c>
      <c r="T72" s="10"/>
      <c r="U72" s="23"/>
      <c r="V72" s="11"/>
      <c r="W72" s="11"/>
      <c r="X72" s="8">
        <v>123728.38</v>
      </c>
      <c r="Y72" s="9"/>
      <c r="Z72" s="70">
        <v>11248.57</v>
      </c>
      <c r="AA72" s="71"/>
      <c r="AB72" s="108"/>
      <c r="AC72" s="9">
        <v>10847.1</v>
      </c>
      <c r="AD72" s="9"/>
      <c r="AE72" s="10"/>
      <c r="AF72" s="24">
        <v>0</v>
      </c>
      <c r="AG72" s="11">
        <v>0</v>
      </c>
      <c r="AH72" s="8">
        <v>0</v>
      </c>
      <c r="AI72" s="9">
        <v>0</v>
      </c>
      <c r="AJ72" s="9">
        <v>0</v>
      </c>
      <c r="AK72" s="10"/>
      <c r="AL72" s="11"/>
      <c r="AM72" s="8">
        <v>123728.38</v>
      </c>
      <c r="AN72" s="9"/>
      <c r="AO72" s="9"/>
      <c r="AP72" s="10"/>
      <c r="AQ72" s="25"/>
      <c r="AR72" s="25"/>
      <c r="AS72" s="25"/>
      <c r="AT72" s="10"/>
      <c r="AU72" s="12">
        <v>134976.95000000001</v>
      </c>
      <c r="AV72" s="12"/>
      <c r="AW72" s="12"/>
      <c r="AX72" s="242"/>
      <c r="AY72" s="243"/>
      <c r="AZ72" s="242"/>
      <c r="BA72" s="242"/>
      <c r="BB72" s="244"/>
      <c r="BC72" s="243" t="s">
        <v>630</v>
      </c>
      <c r="BD72" s="243" t="s">
        <v>630</v>
      </c>
      <c r="BE72" s="15">
        <v>134976.95000000001</v>
      </c>
      <c r="BF72" s="15">
        <v>123728.38</v>
      </c>
      <c r="BG72" s="15">
        <v>11248.57</v>
      </c>
      <c r="BH72" s="15">
        <v>134976.95000000001</v>
      </c>
      <c r="BI72" s="15">
        <v>123728.38</v>
      </c>
      <c r="BJ72" s="242">
        <v>0</v>
      </c>
      <c r="BK72" s="242">
        <v>10847.1</v>
      </c>
      <c r="BL72" s="242"/>
      <c r="BM72" s="242">
        <v>2</v>
      </c>
      <c r="BN72" s="242">
        <v>10999.999999999985</v>
      </c>
      <c r="BO72" s="242">
        <v>0</v>
      </c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94">
        <v>11248.57</v>
      </c>
      <c r="CC72" s="246" t="s">
        <v>634</v>
      </c>
      <c r="CD72" s="242">
        <v>0</v>
      </c>
      <c r="CE72" s="242">
        <v>0</v>
      </c>
      <c r="CF72" s="242">
        <v>0</v>
      </c>
      <c r="CG72" s="242">
        <v>0</v>
      </c>
      <c r="CH72" s="242">
        <v>0</v>
      </c>
      <c r="CI72" s="247" t="s">
        <v>633</v>
      </c>
      <c r="CJ72" s="248">
        <v>123728.38</v>
      </c>
      <c r="CK72" s="248">
        <v>123728.38</v>
      </c>
      <c r="CL72" s="248">
        <v>134976.95000000001</v>
      </c>
      <c r="CM72" s="248">
        <v>0</v>
      </c>
    </row>
    <row r="73" spans="1:91" x14ac:dyDescent="0.25">
      <c r="A73" s="231" t="s">
        <v>768</v>
      </c>
      <c r="B73" s="232" t="s">
        <v>769</v>
      </c>
      <c r="C73" s="232" t="s">
        <v>652</v>
      </c>
      <c r="D73" s="233"/>
      <c r="E73" s="234">
        <v>332999.40000000002</v>
      </c>
      <c r="F73" s="235">
        <v>332999.40000000002</v>
      </c>
      <c r="G73" s="236"/>
      <c r="H73" s="237"/>
      <c r="I73" s="238">
        <v>332999.40000000002</v>
      </c>
      <c r="J73" s="239"/>
      <c r="K73" s="240"/>
      <c r="L73" s="8">
        <v>283060.62</v>
      </c>
      <c r="M73" s="241">
        <v>277999.40000000002</v>
      </c>
      <c r="N73" s="71"/>
      <c r="O73" s="100"/>
      <c r="P73" s="9"/>
      <c r="Q73" s="9">
        <v>45000</v>
      </c>
      <c r="R73" s="9"/>
      <c r="S73" s="152">
        <v>46112</v>
      </c>
      <c r="T73" s="10"/>
      <c r="U73" s="23"/>
      <c r="V73" s="11"/>
      <c r="W73" s="11"/>
      <c r="X73" s="8">
        <v>51870.41</v>
      </c>
      <c r="Y73" s="9"/>
      <c r="Z73" s="70">
        <v>0</v>
      </c>
      <c r="AA73" s="71"/>
      <c r="AB73" s="108"/>
      <c r="AC73" s="9">
        <v>0</v>
      </c>
      <c r="AD73" s="9"/>
      <c r="AE73" s="10"/>
      <c r="AF73" s="24">
        <v>0</v>
      </c>
      <c r="AG73" s="11">
        <v>0</v>
      </c>
      <c r="AH73" s="8">
        <v>0</v>
      </c>
      <c r="AI73" s="9">
        <v>0</v>
      </c>
      <c r="AJ73" s="9">
        <v>0</v>
      </c>
      <c r="AK73" s="10"/>
      <c r="AL73" s="11"/>
      <c r="AM73" s="8">
        <v>51870.41</v>
      </c>
      <c r="AN73" s="9"/>
      <c r="AO73" s="9"/>
      <c r="AP73" s="10"/>
      <c r="AQ73" s="25"/>
      <c r="AR73" s="25"/>
      <c r="AS73" s="25"/>
      <c r="AT73" s="10"/>
      <c r="AU73" s="12">
        <v>89212.4</v>
      </c>
      <c r="AV73" s="12"/>
      <c r="AW73" s="12"/>
      <c r="AX73" s="242"/>
      <c r="AY73" s="243"/>
      <c r="AZ73" s="242"/>
      <c r="BA73" s="242"/>
      <c r="BB73" s="244"/>
      <c r="BC73" s="243" t="s">
        <v>630</v>
      </c>
      <c r="BD73" s="243" t="s">
        <v>630</v>
      </c>
      <c r="BE73" s="15">
        <v>332999.40000000002</v>
      </c>
      <c r="BF73" s="15">
        <v>277999.40000000002</v>
      </c>
      <c r="BG73" s="242">
        <v>0</v>
      </c>
      <c r="BH73" s="15">
        <v>332999.40000000002</v>
      </c>
      <c r="BI73" s="15">
        <v>277999.40000000002</v>
      </c>
      <c r="BJ73" s="242">
        <v>0</v>
      </c>
      <c r="BK73" s="242">
        <v>0</v>
      </c>
      <c r="BL73" s="242"/>
      <c r="BM73" s="242">
        <v>2</v>
      </c>
      <c r="BN73" s="242">
        <v>45000</v>
      </c>
      <c r="BO73" s="242">
        <v>0</v>
      </c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 t="s">
        <v>634</v>
      </c>
      <c r="CD73" s="242">
        <v>0</v>
      </c>
      <c r="CE73" s="242">
        <v>0</v>
      </c>
      <c r="CF73" s="242">
        <v>0</v>
      </c>
      <c r="CG73" s="242">
        <v>0</v>
      </c>
      <c r="CH73" s="242">
        <v>0</v>
      </c>
      <c r="CI73" s="247" t="s">
        <v>633</v>
      </c>
      <c r="CJ73" s="248">
        <v>51870.41</v>
      </c>
      <c r="CK73" s="248">
        <v>51870.41</v>
      </c>
      <c r="CL73" s="248">
        <v>89212.4</v>
      </c>
      <c r="CM73" s="248">
        <v>0</v>
      </c>
    </row>
    <row r="74" spans="1:91" x14ac:dyDescent="0.25">
      <c r="A74" s="231" t="s">
        <v>770</v>
      </c>
      <c r="B74" s="232" t="s">
        <v>771</v>
      </c>
      <c r="C74" s="232" t="s">
        <v>652</v>
      </c>
      <c r="D74" s="233"/>
      <c r="E74" s="234">
        <v>33252</v>
      </c>
      <c r="F74" s="235">
        <v>33252</v>
      </c>
      <c r="G74" s="236"/>
      <c r="H74" s="237"/>
      <c r="I74" s="238">
        <v>33252</v>
      </c>
      <c r="J74" s="239"/>
      <c r="K74" s="240"/>
      <c r="L74" s="8">
        <v>12870.89</v>
      </c>
      <c r="M74" s="241">
        <v>12870.98</v>
      </c>
      <c r="N74" s="71"/>
      <c r="O74" s="100"/>
      <c r="P74" s="9"/>
      <c r="Q74" s="9">
        <v>20381.02</v>
      </c>
      <c r="R74" s="9"/>
      <c r="S74" s="152">
        <v>45869</v>
      </c>
      <c r="T74" s="10"/>
      <c r="U74" s="23"/>
      <c r="V74" s="11"/>
      <c r="W74" s="11"/>
      <c r="X74" s="8">
        <v>12870.98</v>
      </c>
      <c r="Y74" s="9"/>
      <c r="Z74" s="70">
        <v>20381.02</v>
      </c>
      <c r="AA74" s="71"/>
      <c r="AB74" s="108"/>
      <c r="AC74" s="9">
        <v>20381.02</v>
      </c>
      <c r="AD74" s="9"/>
      <c r="AE74" s="10"/>
      <c r="AF74" s="24">
        <v>0</v>
      </c>
      <c r="AG74" s="11">
        <v>0</v>
      </c>
      <c r="AH74" s="8">
        <v>0</v>
      </c>
      <c r="AI74" s="9">
        <v>0</v>
      </c>
      <c r="AJ74" s="9">
        <v>0</v>
      </c>
      <c r="AK74" s="10"/>
      <c r="AL74" s="11"/>
      <c r="AM74" s="8">
        <v>12870.98</v>
      </c>
      <c r="AN74" s="9"/>
      <c r="AO74" s="9"/>
      <c r="AP74" s="10"/>
      <c r="AQ74" s="25"/>
      <c r="AR74" s="25"/>
      <c r="AS74" s="25"/>
      <c r="AT74" s="10"/>
      <c r="AU74" s="12">
        <v>33252</v>
      </c>
      <c r="AV74" s="12"/>
      <c r="AW74" s="12"/>
      <c r="AX74" s="242"/>
      <c r="AY74" s="243"/>
      <c r="AZ74" s="242"/>
      <c r="BA74" s="242"/>
      <c r="BB74" s="244"/>
      <c r="BC74" s="243" t="s">
        <v>630</v>
      </c>
      <c r="BD74" s="243" t="s">
        <v>630</v>
      </c>
      <c r="BE74" s="15">
        <v>33252</v>
      </c>
      <c r="BF74" s="15">
        <v>12870.98</v>
      </c>
      <c r="BG74" s="15">
        <v>20381.02</v>
      </c>
      <c r="BH74" s="15">
        <v>33252</v>
      </c>
      <c r="BI74" s="15">
        <v>12870.98</v>
      </c>
      <c r="BJ74" s="242">
        <v>0</v>
      </c>
      <c r="BK74" s="242">
        <v>20381.02</v>
      </c>
      <c r="BL74" s="242"/>
      <c r="BM74" s="242">
        <v>2</v>
      </c>
      <c r="BN74" s="242">
        <v>20381.02</v>
      </c>
      <c r="BO74" s="242">
        <v>0</v>
      </c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94">
        <v>20381.02</v>
      </c>
      <c r="CC74" s="246" t="s">
        <v>634</v>
      </c>
      <c r="CD74" s="242">
        <v>0</v>
      </c>
      <c r="CE74" s="242">
        <v>0</v>
      </c>
      <c r="CF74" s="242">
        <v>0</v>
      </c>
      <c r="CG74" s="242">
        <v>0</v>
      </c>
      <c r="CH74" s="242">
        <v>0</v>
      </c>
      <c r="CI74" s="247" t="s">
        <v>633</v>
      </c>
      <c r="CJ74" s="248">
        <v>12870.98</v>
      </c>
      <c r="CK74" s="248">
        <v>12870.98</v>
      </c>
      <c r="CL74" s="248">
        <v>33252</v>
      </c>
      <c r="CM74" s="248">
        <v>0</v>
      </c>
    </row>
    <row r="75" spans="1:91" x14ac:dyDescent="0.25">
      <c r="A75" s="231" t="s">
        <v>772</v>
      </c>
      <c r="B75" s="232" t="s">
        <v>773</v>
      </c>
      <c r="C75" s="232" t="s">
        <v>636</v>
      </c>
      <c r="D75" s="233"/>
      <c r="E75" s="234">
        <v>21978</v>
      </c>
      <c r="F75" s="235">
        <v>21978</v>
      </c>
      <c r="G75" s="236"/>
      <c r="H75" s="237"/>
      <c r="I75" s="238">
        <v>21978</v>
      </c>
      <c r="J75" s="239"/>
      <c r="K75" s="240"/>
      <c r="L75" s="8">
        <v>7674.83</v>
      </c>
      <c r="M75" s="241">
        <v>7674.83</v>
      </c>
      <c r="N75" s="71"/>
      <c r="O75" s="100"/>
      <c r="P75" s="9"/>
      <c r="Q75" s="9">
        <v>14303.17</v>
      </c>
      <c r="R75" s="9"/>
      <c r="S75" s="152">
        <v>45961</v>
      </c>
      <c r="T75" s="10"/>
      <c r="U75" s="23"/>
      <c r="V75" s="11"/>
      <c r="W75" s="11"/>
      <c r="X75" s="8">
        <v>7674.83</v>
      </c>
      <c r="Y75" s="9"/>
      <c r="Z75" s="70">
        <v>14303.17</v>
      </c>
      <c r="AA75" s="71"/>
      <c r="AB75" s="108"/>
      <c r="AC75" s="9">
        <v>14303.17</v>
      </c>
      <c r="AD75" s="9"/>
      <c r="AE75" s="10"/>
      <c r="AF75" s="24">
        <v>0</v>
      </c>
      <c r="AG75" s="11">
        <v>0</v>
      </c>
      <c r="AH75" s="8">
        <v>0</v>
      </c>
      <c r="AI75" s="9">
        <v>0</v>
      </c>
      <c r="AJ75" s="9">
        <v>0</v>
      </c>
      <c r="AK75" s="10"/>
      <c r="AL75" s="11"/>
      <c r="AM75" s="8">
        <v>7674.83</v>
      </c>
      <c r="AN75" s="9"/>
      <c r="AO75" s="9"/>
      <c r="AP75" s="10"/>
      <c r="AQ75" s="25"/>
      <c r="AR75" s="25"/>
      <c r="AS75" s="25"/>
      <c r="AT75" s="10"/>
      <c r="AU75" s="12">
        <v>21978</v>
      </c>
      <c r="AV75" s="12"/>
      <c r="AW75" s="12"/>
      <c r="AX75" s="242"/>
      <c r="AY75" s="243"/>
      <c r="AZ75" s="242"/>
      <c r="BA75" s="242"/>
      <c r="BB75" s="244"/>
      <c r="BC75" s="243" t="s">
        <v>630</v>
      </c>
      <c r="BD75" s="243" t="s">
        <v>630</v>
      </c>
      <c r="BE75" s="15">
        <v>21978</v>
      </c>
      <c r="BF75" s="15">
        <v>7674.83</v>
      </c>
      <c r="BG75" s="15">
        <v>14303.17</v>
      </c>
      <c r="BH75" s="15">
        <v>21978</v>
      </c>
      <c r="BI75" s="15">
        <v>7674.83</v>
      </c>
      <c r="BJ75" s="242">
        <v>0</v>
      </c>
      <c r="BK75" s="242">
        <v>14303.17</v>
      </c>
      <c r="BL75" s="242"/>
      <c r="BM75" s="242">
        <v>2</v>
      </c>
      <c r="BN75" s="242">
        <v>14303.17</v>
      </c>
      <c r="BO75" s="242">
        <v>0</v>
      </c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94">
        <v>14303.17</v>
      </c>
      <c r="CC75" s="246" t="s">
        <v>634</v>
      </c>
      <c r="CD75" s="242">
        <v>0</v>
      </c>
      <c r="CE75" s="242">
        <v>0</v>
      </c>
      <c r="CF75" s="242">
        <v>0</v>
      </c>
      <c r="CG75" s="242">
        <v>0</v>
      </c>
      <c r="CH75" s="242">
        <v>0</v>
      </c>
      <c r="CI75" s="247" t="s">
        <v>633</v>
      </c>
      <c r="CJ75" s="248">
        <v>7674.83</v>
      </c>
      <c r="CK75" s="248">
        <v>7674.83</v>
      </c>
      <c r="CL75" s="248">
        <v>21978</v>
      </c>
      <c r="CM75" s="248">
        <v>0</v>
      </c>
    </row>
    <row r="76" spans="1:91" x14ac:dyDescent="0.25">
      <c r="A76" s="231" t="s">
        <v>774</v>
      </c>
      <c r="B76" s="232" t="s">
        <v>775</v>
      </c>
      <c r="C76" s="232" t="s">
        <v>646</v>
      </c>
      <c r="D76" s="233"/>
      <c r="E76" s="234">
        <v>46747.5</v>
      </c>
      <c r="F76" s="235">
        <v>46747.5</v>
      </c>
      <c r="G76" s="236"/>
      <c r="H76" s="237"/>
      <c r="I76" s="238">
        <v>56895.8</v>
      </c>
      <c r="J76" s="239"/>
      <c r="K76" s="240"/>
      <c r="L76" s="8">
        <v>35975.870000000003</v>
      </c>
      <c r="M76" s="241">
        <v>35975.870000000003</v>
      </c>
      <c r="N76" s="71"/>
      <c r="O76" s="100"/>
      <c r="P76" s="9"/>
      <c r="Q76" s="9">
        <v>20200</v>
      </c>
      <c r="R76" s="9"/>
      <c r="S76" s="152">
        <v>46022</v>
      </c>
      <c r="T76" s="10"/>
      <c r="U76" s="23"/>
      <c r="V76" s="11"/>
      <c r="W76" s="11"/>
      <c r="X76" s="8">
        <v>35975.870000000003</v>
      </c>
      <c r="Y76" s="9"/>
      <c r="Z76" s="70">
        <v>20919.93</v>
      </c>
      <c r="AA76" s="71"/>
      <c r="AB76" s="108"/>
      <c r="AC76" s="9">
        <v>19804.080000000002</v>
      </c>
      <c r="AD76" s="9"/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/>
      <c r="AM76" s="8">
        <v>35975.870000000003</v>
      </c>
      <c r="AN76" s="9"/>
      <c r="AO76" s="9"/>
      <c r="AP76" s="10"/>
      <c r="AQ76" s="25"/>
      <c r="AR76" s="25"/>
      <c r="AS76" s="25"/>
      <c r="AT76" s="10"/>
      <c r="AU76" s="12">
        <v>56895.8</v>
      </c>
      <c r="AV76" s="12"/>
      <c r="AW76" s="12"/>
      <c r="AX76" s="242"/>
      <c r="AY76" s="243"/>
      <c r="AZ76" s="242"/>
      <c r="BA76" s="242"/>
      <c r="BB76" s="244"/>
      <c r="BC76" s="243" t="s">
        <v>630</v>
      </c>
      <c r="BD76" s="243" t="s">
        <v>630</v>
      </c>
      <c r="BE76" s="15">
        <v>56895.8</v>
      </c>
      <c r="BF76" s="15">
        <v>35975.870000000003</v>
      </c>
      <c r="BG76" s="15">
        <v>20919.93</v>
      </c>
      <c r="BH76" s="15">
        <v>56895.8</v>
      </c>
      <c r="BI76" s="15">
        <v>35975.870000000003</v>
      </c>
      <c r="BJ76" s="242">
        <v>0</v>
      </c>
      <c r="BK76" s="242">
        <v>19804.080000000002</v>
      </c>
      <c r="BL76" s="242"/>
      <c r="BM76" s="242">
        <v>2</v>
      </c>
      <c r="BN76" s="242">
        <v>20200</v>
      </c>
      <c r="BO76" s="242">
        <v>0</v>
      </c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94">
        <v>20919.93</v>
      </c>
      <c r="CC76" s="246" t="s">
        <v>634</v>
      </c>
      <c r="CD76" s="242">
        <v>0</v>
      </c>
      <c r="CE76" s="242">
        <v>0</v>
      </c>
      <c r="CF76" s="242">
        <v>0</v>
      </c>
      <c r="CG76" s="242">
        <v>0</v>
      </c>
      <c r="CH76" s="242">
        <v>0</v>
      </c>
      <c r="CI76" s="247" t="s">
        <v>633</v>
      </c>
      <c r="CJ76" s="248">
        <v>35975.870000000003</v>
      </c>
      <c r="CK76" s="248">
        <v>35975.870000000003</v>
      </c>
      <c r="CL76" s="248">
        <v>56895.8</v>
      </c>
      <c r="CM76" s="248">
        <v>0</v>
      </c>
    </row>
    <row r="77" spans="1:91" x14ac:dyDescent="0.25">
      <c r="A77" s="231" t="s">
        <v>776</v>
      </c>
      <c r="B77" s="232" t="s">
        <v>777</v>
      </c>
      <c r="C77" s="232" t="s">
        <v>636</v>
      </c>
      <c r="D77" s="233"/>
      <c r="E77" s="234">
        <v>25874.2</v>
      </c>
      <c r="F77" s="235">
        <v>25874.2</v>
      </c>
      <c r="G77" s="236"/>
      <c r="H77" s="237"/>
      <c r="I77" s="238">
        <v>25874.2</v>
      </c>
      <c r="J77" s="239"/>
      <c r="K77" s="240"/>
      <c r="L77" s="8">
        <v>22907.19</v>
      </c>
      <c r="M77" s="241">
        <v>22907.19</v>
      </c>
      <c r="N77" s="71"/>
      <c r="O77" s="100"/>
      <c r="P77" s="9"/>
      <c r="Q77" s="9">
        <v>2967.010000000002</v>
      </c>
      <c r="R77" s="9"/>
      <c r="S77" s="152">
        <v>46022</v>
      </c>
      <c r="T77" s="10"/>
      <c r="U77" s="23"/>
      <c r="V77" s="11"/>
      <c r="W77" s="11"/>
      <c r="X77" s="8">
        <v>22907.19</v>
      </c>
      <c r="Y77" s="9"/>
      <c r="Z77" s="70">
        <v>2967.01</v>
      </c>
      <c r="AA77" s="71"/>
      <c r="AB77" s="108"/>
      <c r="AC77" s="9">
        <v>2967.01</v>
      </c>
      <c r="AD77" s="9"/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/>
      <c r="AM77" s="8">
        <v>22907.19</v>
      </c>
      <c r="AN77" s="9"/>
      <c r="AO77" s="9"/>
      <c r="AP77" s="10"/>
      <c r="AQ77" s="25"/>
      <c r="AR77" s="25"/>
      <c r="AS77" s="25"/>
      <c r="AT77" s="10"/>
      <c r="AU77" s="12">
        <v>25874.2</v>
      </c>
      <c r="AV77" s="12"/>
      <c r="AW77" s="12"/>
      <c r="AX77" s="242"/>
      <c r="AY77" s="243"/>
      <c r="AZ77" s="242"/>
      <c r="BA77" s="242"/>
      <c r="BB77" s="244"/>
      <c r="BC77" s="243" t="s">
        <v>630</v>
      </c>
      <c r="BD77" s="243" t="s">
        <v>630</v>
      </c>
      <c r="BE77" s="15">
        <v>25874.2</v>
      </c>
      <c r="BF77" s="15">
        <v>22907.19</v>
      </c>
      <c r="BG77" s="15">
        <v>2967.01</v>
      </c>
      <c r="BH77" s="15">
        <v>25874.2</v>
      </c>
      <c r="BI77" s="15">
        <v>22907.19</v>
      </c>
      <c r="BJ77" s="242">
        <v>0</v>
      </c>
      <c r="BK77" s="242">
        <v>2967.01</v>
      </c>
      <c r="BL77" s="242"/>
      <c r="BM77" s="242">
        <v>2</v>
      </c>
      <c r="BN77" s="242">
        <v>2967.010000000002</v>
      </c>
      <c r="BO77" s="242">
        <v>0</v>
      </c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94">
        <v>2967.01</v>
      </c>
      <c r="CC77" s="246" t="s">
        <v>634</v>
      </c>
      <c r="CD77" s="242">
        <v>0</v>
      </c>
      <c r="CE77" s="242">
        <v>0</v>
      </c>
      <c r="CF77" s="242">
        <v>0</v>
      </c>
      <c r="CG77" s="242">
        <v>0</v>
      </c>
      <c r="CH77" s="242">
        <v>0</v>
      </c>
      <c r="CI77" s="247" t="s">
        <v>633</v>
      </c>
      <c r="CJ77" s="248">
        <v>22907.19</v>
      </c>
      <c r="CK77" s="248">
        <v>22907.19</v>
      </c>
      <c r="CL77" s="248">
        <v>25874.2</v>
      </c>
      <c r="CM77" s="248">
        <v>0</v>
      </c>
    </row>
    <row r="78" spans="1:91" x14ac:dyDescent="0.25">
      <c r="A78" s="231" t="s">
        <v>778</v>
      </c>
      <c r="B78" s="232" t="s">
        <v>759</v>
      </c>
      <c r="C78" s="232" t="s">
        <v>636</v>
      </c>
      <c r="D78" s="233"/>
      <c r="E78" s="234">
        <v>9009.56</v>
      </c>
      <c r="F78" s="235">
        <v>9009.56</v>
      </c>
      <c r="G78" s="236"/>
      <c r="H78" s="237"/>
      <c r="I78" s="238">
        <v>9009.56</v>
      </c>
      <c r="J78" s="239"/>
      <c r="K78" s="240"/>
      <c r="L78" s="8">
        <v>8440.39</v>
      </c>
      <c r="M78" s="241">
        <v>8440.39</v>
      </c>
      <c r="N78" s="71"/>
      <c r="O78" s="100"/>
      <c r="P78" s="9"/>
      <c r="Q78" s="9">
        <v>569.17000000000007</v>
      </c>
      <c r="R78" s="9"/>
      <c r="S78" s="152">
        <v>46022</v>
      </c>
      <c r="T78" s="10"/>
      <c r="U78" s="23"/>
      <c r="V78" s="11"/>
      <c r="W78" s="11"/>
      <c r="X78" s="8">
        <v>8440.39</v>
      </c>
      <c r="Y78" s="9"/>
      <c r="Z78" s="70">
        <v>569.16999999999996</v>
      </c>
      <c r="AA78" s="71"/>
      <c r="AB78" s="108"/>
      <c r="AC78" s="9">
        <v>569.16999999999996</v>
      </c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8440.39</v>
      </c>
      <c r="AN78" s="9"/>
      <c r="AO78" s="9"/>
      <c r="AP78" s="10"/>
      <c r="AQ78" s="25"/>
      <c r="AR78" s="25"/>
      <c r="AS78" s="25"/>
      <c r="AT78" s="10"/>
      <c r="AU78" s="12">
        <v>9009.56</v>
      </c>
      <c r="AV78" s="12"/>
      <c r="AW78" s="12"/>
      <c r="AX78" s="242"/>
      <c r="AY78" s="243"/>
      <c r="AZ78" s="242"/>
      <c r="BA78" s="242"/>
      <c r="BB78" s="244"/>
      <c r="BC78" s="243" t="s">
        <v>630</v>
      </c>
      <c r="BD78" s="243" t="s">
        <v>630</v>
      </c>
      <c r="BE78" s="15">
        <v>9009.56</v>
      </c>
      <c r="BF78" s="15">
        <v>8440.39</v>
      </c>
      <c r="BG78" s="15">
        <v>569.16999999999996</v>
      </c>
      <c r="BH78" s="15">
        <v>9009.56</v>
      </c>
      <c r="BI78" s="15">
        <v>8440.39</v>
      </c>
      <c r="BJ78" s="242">
        <v>0</v>
      </c>
      <c r="BK78" s="242">
        <v>569.16999999999996</v>
      </c>
      <c r="BL78" s="242"/>
      <c r="BM78" s="242">
        <v>2</v>
      </c>
      <c r="BN78" s="242">
        <v>569.17000000000007</v>
      </c>
      <c r="BO78" s="242">
        <v>0</v>
      </c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94">
        <v>569.16999999999996</v>
      </c>
      <c r="CC78" s="246" t="s">
        <v>634</v>
      </c>
      <c r="CD78" s="242">
        <v>0</v>
      </c>
      <c r="CE78" s="242">
        <v>0</v>
      </c>
      <c r="CF78" s="242">
        <v>0</v>
      </c>
      <c r="CG78" s="242">
        <v>0</v>
      </c>
      <c r="CH78" s="242">
        <v>0</v>
      </c>
      <c r="CI78" s="247" t="s">
        <v>633</v>
      </c>
      <c r="CJ78" s="248">
        <v>8440.39</v>
      </c>
      <c r="CK78" s="248">
        <v>8440.39</v>
      </c>
      <c r="CL78" s="248">
        <v>9009.56</v>
      </c>
      <c r="CM78" s="248">
        <v>0</v>
      </c>
    </row>
    <row r="79" spans="1:91" x14ac:dyDescent="0.25">
      <c r="A79" s="231" t="s">
        <v>779</v>
      </c>
      <c r="B79" s="232" t="s">
        <v>761</v>
      </c>
      <c r="C79" s="232" t="s">
        <v>636</v>
      </c>
      <c r="D79" s="233"/>
      <c r="E79" s="234">
        <v>2034.2</v>
      </c>
      <c r="F79" s="235">
        <v>2034.2</v>
      </c>
      <c r="G79" s="236"/>
      <c r="H79" s="237"/>
      <c r="I79" s="238">
        <v>2034.2</v>
      </c>
      <c r="J79" s="239"/>
      <c r="K79" s="240"/>
      <c r="L79" s="8">
        <v>1895.86</v>
      </c>
      <c r="M79" s="241">
        <v>1895.86</v>
      </c>
      <c r="N79" s="71"/>
      <c r="O79" s="100"/>
      <c r="P79" s="9"/>
      <c r="Q79" s="9">
        <v>138.34000000000015</v>
      </c>
      <c r="R79" s="9"/>
      <c r="S79" s="152">
        <v>46022</v>
      </c>
      <c r="T79" s="10"/>
      <c r="U79" s="23"/>
      <c r="V79" s="11"/>
      <c r="W79" s="11"/>
      <c r="X79" s="8">
        <v>1895.86</v>
      </c>
      <c r="Y79" s="9"/>
      <c r="Z79" s="70">
        <v>138.34</v>
      </c>
      <c r="AA79" s="71"/>
      <c r="AB79" s="108"/>
      <c r="AC79" s="9">
        <v>138.34</v>
      </c>
      <c r="AD79" s="9"/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/>
      <c r="AM79" s="8">
        <v>1895.86</v>
      </c>
      <c r="AN79" s="9"/>
      <c r="AO79" s="9"/>
      <c r="AP79" s="10"/>
      <c r="AQ79" s="25"/>
      <c r="AR79" s="25"/>
      <c r="AS79" s="25"/>
      <c r="AT79" s="10"/>
      <c r="AU79" s="12">
        <v>2034.2</v>
      </c>
      <c r="AV79" s="12"/>
      <c r="AW79" s="12"/>
      <c r="AX79" s="242"/>
      <c r="AY79" s="243"/>
      <c r="AZ79" s="242"/>
      <c r="BA79" s="242"/>
      <c r="BB79" s="244"/>
      <c r="BC79" s="243" t="s">
        <v>630</v>
      </c>
      <c r="BD79" s="243" t="s">
        <v>630</v>
      </c>
      <c r="BE79" s="15">
        <v>2034.2</v>
      </c>
      <c r="BF79" s="15">
        <v>1895.86</v>
      </c>
      <c r="BG79" s="15">
        <v>138.34</v>
      </c>
      <c r="BH79" s="15">
        <v>2034.2</v>
      </c>
      <c r="BI79" s="15">
        <v>1895.86</v>
      </c>
      <c r="BJ79" s="242">
        <v>0</v>
      </c>
      <c r="BK79" s="242">
        <v>138.34</v>
      </c>
      <c r="BL79" s="242"/>
      <c r="BM79" s="242">
        <v>2</v>
      </c>
      <c r="BN79" s="242">
        <v>138.34000000000015</v>
      </c>
      <c r="BO79" s="242">
        <v>0</v>
      </c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94">
        <v>138.34</v>
      </c>
      <c r="CC79" s="246" t="s">
        <v>634</v>
      </c>
      <c r="CD79" s="242">
        <v>0</v>
      </c>
      <c r="CE79" s="242">
        <v>0</v>
      </c>
      <c r="CF79" s="242">
        <v>0</v>
      </c>
      <c r="CG79" s="242">
        <v>0</v>
      </c>
      <c r="CH79" s="242">
        <v>0</v>
      </c>
      <c r="CI79" s="247" t="s">
        <v>633</v>
      </c>
      <c r="CJ79" s="248">
        <v>1895.86</v>
      </c>
      <c r="CK79" s="248">
        <v>1895.86</v>
      </c>
      <c r="CL79" s="248">
        <v>2034.2</v>
      </c>
      <c r="CM79" s="248">
        <v>0</v>
      </c>
    </row>
    <row r="80" spans="1:91" x14ac:dyDescent="0.25">
      <c r="A80" s="231"/>
      <c r="B80" s="120" t="s">
        <v>780</v>
      </c>
      <c r="C80" s="232"/>
      <c r="D80" s="233"/>
      <c r="E80" s="279">
        <f>SUM(E27:E79)</f>
        <v>39990449.800000004</v>
      </c>
      <c r="F80" s="268">
        <f>SUM(F27:F79)</f>
        <v>40080384.290000007</v>
      </c>
      <c r="G80" s="236"/>
      <c r="H80" s="237"/>
      <c r="I80" s="280">
        <f>SUM(I27:I79)</f>
        <v>40115326.800000004</v>
      </c>
      <c r="J80" s="239"/>
      <c r="K80" s="240"/>
      <c r="L80" s="272">
        <f>SUM(L27:L79)</f>
        <v>34778447.979999982</v>
      </c>
      <c r="M80" s="281">
        <f>SUM(M27:M79)</f>
        <v>34766355.039999984</v>
      </c>
      <c r="N80" s="71"/>
      <c r="O80" s="100"/>
      <c r="P80" s="270">
        <f>SUM(P27:P79)</f>
        <v>0</v>
      </c>
      <c r="Q80" s="270">
        <f>SUM(Q27:Q79)</f>
        <v>3030331.6099999994</v>
      </c>
      <c r="R80" s="270">
        <f>SUM(R27:R79)</f>
        <v>0</v>
      </c>
      <c r="S80" s="152"/>
      <c r="T80" s="10"/>
      <c r="U80" s="23"/>
      <c r="V80" s="271">
        <f>SUM(V27:V79)</f>
        <v>0</v>
      </c>
      <c r="W80" s="271">
        <f>SUM(W27:W79)</f>
        <v>0</v>
      </c>
      <c r="X80" s="272">
        <f>SUM(X27:X79)</f>
        <v>34532756.459999986</v>
      </c>
      <c r="Y80" s="270">
        <f>SUM(Y27:Y79)</f>
        <v>0</v>
      </c>
      <c r="Z80" s="282">
        <f>SUM(Z27:Z79)</f>
        <v>2866030.61</v>
      </c>
      <c r="AA80" s="71"/>
      <c r="AB80" s="108"/>
      <c r="AC80" s="270">
        <f>SUM(AC27:AC79)</f>
        <v>2984782.7899999996</v>
      </c>
      <c r="AD80" s="270">
        <f>SUM(AD27:AD79)</f>
        <v>0</v>
      </c>
      <c r="AE80" s="10"/>
      <c r="AF80" s="24"/>
      <c r="AG80" s="271">
        <f>SUM(AG27:AG79)</f>
        <v>34094964.530000001</v>
      </c>
      <c r="AH80" s="272">
        <f>SUM(AH27:AH79)</f>
        <v>30166407.670000002</v>
      </c>
      <c r="AI80" s="270">
        <f>SUM(AI27:AI79)</f>
        <v>-1085436.4099999997</v>
      </c>
      <c r="AJ80" s="270">
        <f>SUM(AJ27:AJ79)</f>
        <v>3928556.8600000003</v>
      </c>
      <c r="AK80" s="10"/>
      <c r="AL80" s="271">
        <f>SUM(AL27:AL79)</f>
        <v>0</v>
      </c>
      <c r="AM80" s="272">
        <f>SUM(AM27:AM79)</f>
        <v>4366348.790000001</v>
      </c>
      <c r="AN80" s="270">
        <f>SUM(AN27:AN79)</f>
        <v>0</v>
      </c>
      <c r="AO80" s="270">
        <f>SUM(AO27:AO79)</f>
        <v>0</v>
      </c>
      <c r="AP80" s="10"/>
      <c r="AQ80" s="283">
        <f>SUM(AQ27:AQ79)</f>
        <v>0</v>
      </c>
      <c r="AR80" s="283">
        <f>SUM(AR27:AR79)</f>
        <v>0</v>
      </c>
      <c r="AS80" s="283">
        <f>SUM(AS27:AS79)</f>
        <v>0</v>
      </c>
      <c r="AT80" s="10"/>
      <c r="AU80" s="284">
        <f>SUM(AU27:AU79)</f>
        <v>39531643.240000002</v>
      </c>
      <c r="AV80" s="284">
        <f>SUM(AV27:AV79)</f>
        <v>0</v>
      </c>
      <c r="AW80" s="284">
        <f>SUM(AW27:AW79)</f>
        <v>0</v>
      </c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120" t="s">
        <v>781</v>
      </c>
      <c r="C82" s="232"/>
      <c r="D82" s="233"/>
      <c r="E82" s="279">
        <f>SUM(E7:E81)/2</f>
        <v>95799552.299999997</v>
      </c>
      <c r="F82" s="268">
        <f>SUM(F7:F81)/2</f>
        <v>97209438.590000004</v>
      </c>
      <c r="G82" s="236"/>
      <c r="H82" s="237"/>
      <c r="I82" s="280">
        <f>SUM(I7:I81)/2</f>
        <v>96986186.360000014</v>
      </c>
      <c r="J82" s="239"/>
      <c r="K82" s="240"/>
      <c r="L82" s="272">
        <f>SUM(L7:L81)/2</f>
        <v>86653862.340000004</v>
      </c>
      <c r="M82" s="281">
        <f>SUM(M7:M81)/2</f>
        <v>87222714.600000024</v>
      </c>
      <c r="N82" s="71"/>
      <c r="O82" s="100"/>
      <c r="P82" s="270">
        <f>SUM(P7:P81)/2</f>
        <v>0</v>
      </c>
      <c r="Q82" s="270">
        <f>SUM(Q7:Q81)/2</f>
        <v>7204331.6099999994</v>
      </c>
      <c r="R82" s="270">
        <f>SUM(R7:R81)/2</f>
        <v>0</v>
      </c>
      <c r="S82" s="152"/>
      <c r="T82" s="10"/>
      <c r="U82" s="23"/>
      <c r="V82" s="271">
        <f>SUM(V7:V81)/2</f>
        <v>0</v>
      </c>
      <c r="W82" s="271">
        <f>SUM(W7:W81)/2</f>
        <v>0</v>
      </c>
      <c r="X82" s="272">
        <f>SUM(X7:X81)/2</f>
        <v>66236372.979999989</v>
      </c>
      <c r="Y82" s="270">
        <f>SUM(Y7:Y81)/2</f>
        <v>0</v>
      </c>
      <c r="Z82" s="282">
        <f>SUM(Z7:Z81)/2</f>
        <v>5957457.71</v>
      </c>
      <c r="AA82" s="71"/>
      <c r="AB82" s="108"/>
      <c r="AC82" s="270">
        <f>SUM(AC7:AC81)/2</f>
        <v>5562622.7899999982</v>
      </c>
      <c r="AD82" s="270">
        <f>SUM(AD7:AD81)/2</f>
        <v>0</v>
      </c>
      <c r="AE82" s="10"/>
      <c r="AF82" s="24"/>
      <c r="AG82" s="271">
        <f>SUM(AG7:AG81)/2</f>
        <v>44929145.979999997</v>
      </c>
      <c r="AH82" s="272">
        <f>SUM(AH7:AH81)/2</f>
        <v>40071835.620000005</v>
      </c>
      <c r="AI82" s="270">
        <f>SUM(AI7:AI81)/2</f>
        <v>-156682.91000000015</v>
      </c>
      <c r="AJ82" s="270">
        <f>SUM(AJ7:AJ81)/2</f>
        <v>4857310.3599999994</v>
      </c>
      <c r="AK82" s="10"/>
      <c r="AL82" s="271">
        <f>SUM(AL7:AL81)/2</f>
        <v>0</v>
      </c>
      <c r="AM82" s="272">
        <f>SUM(AM7:AM81)/2</f>
        <v>26164537.359999988</v>
      </c>
      <c r="AN82" s="270">
        <f>SUM(AN7:AN81)/2</f>
        <v>0</v>
      </c>
      <c r="AO82" s="270">
        <f>SUM(AO7:AO81)/2</f>
        <v>0</v>
      </c>
      <c r="AP82" s="10"/>
      <c r="AQ82" s="283">
        <f>SUM(AQ7:AQ81)/2</f>
        <v>0</v>
      </c>
      <c r="AR82" s="283">
        <f>SUM(AR7:AR81)/2</f>
        <v>0</v>
      </c>
      <c r="AS82" s="283">
        <f>SUM(AS7:AS81)/2</f>
        <v>0</v>
      </c>
      <c r="AT82" s="10"/>
      <c r="AU82" s="284">
        <f>SUM(AU7:AU81)/2</f>
        <v>72978791.530000001</v>
      </c>
      <c r="AV82" s="284">
        <f>SUM(AV7:AV81)/2</f>
        <v>0</v>
      </c>
      <c r="AW82" s="284">
        <f>SUM(AW7:AW81)/2</f>
        <v>0</v>
      </c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86"/>
      <c r="B84" s="285" t="s">
        <v>638</v>
      </c>
      <c r="C84" s="120"/>
      <c r="D84" s="267"/>
      <c r="E84" s="279">
        <f>SUMIF(BM8:BM84,1, E8:E84)</f>
        <v>55809102.5</v>
      </c>
      <c r="F84" s="268">
        <f>SUMIF(BM8:BM84,1, F8:F84)</f>
        <v>57129054.299999997</v>
      </c>
      <c r="G84" s="287"/>
      <c r="H84" s="104"/>
      <c r="I84" s="280">
        <f>SUMIF(BM8:BM84,1, I8:I84)</f>
        <v>56870859.560000002</v>
      </c>
      <c r="J84" s="288"/>
      <c r="K84" s="98"/>
      <c r="L84" s="272">
        <f>SUMIF(BM8:BM84,1, L8:L84)</f>
        <v>51875414.359999999</v>
      </c>
      <c r="M84" s="281">
        <f>SUMIF(BM8:BM84,1, M8:M84)</f>
        <v>52456359.560000002</v>
      </c>
      <c r="N84" s="289"/>
      <c r="O84" s="99"/>
      <c r="P84" s="270">
        <f>SUMIF(BM8:BM84,1, P8:P84)</f>
        <v>0</v>
      </c>
      <c r="Q84" s="270">
        <f>SUMIF(BM8:BM84,1, Q8:Q84)</f>
        <v>4174000</v>
      </c>
      <c r="R84" s="270">
        <f>SUMIF(BM8:BM84,1, R8:R84)</f>
        <v>0</v>
      </c>
      <c r="S84" s="290"/>
      <c r="T84" s="291"/>
      <c r="U84" s="292"/>
      <c r="V84" s="271">
        <f>SUMIF(BM8:BM84,1, V8:V84)</f>
        <v>0</v>
      </c>
      <c r="W84" s="271">
        <f>SUMIF(BM8:BM84,1, W8:W84)</f>
        <v>0</v>
      </c>
      <c r="X84" s="272">
        <f>SUMIF(BM8:BM84,1, X8:X84)</f>
        <v>31703616.52</v>
      </c>
      <c r="Y84" s="270">
        <f>SUMIF(BM8:BM84,1, Y8:Y84)</f>
        <v>0</v>
      </c>
      <c r="Z84" s="282">
        <f>SUMIF(BM8:BM84,1, Z8:Z84)</f>
        <v>3091427.1</v>
      </c>
      <c r="AA84" s="289"/>
      <c r="AB84" s="107"/>
      <c r="AC84" s="270">
        <f>SUMIF(BM8:BM84,1, AC8:AC84)</f>
        <v>2577840</v>
      </c>
      <c r="AD84" s="270">
        <f>SUMIF(BM8:BM84,1, AD8:AD84)</f>
        <v>0</v>
      </c>
      <c r="AE84" s="291"/>
      <c r="AF84" s="293"/>
      <c r="AG84" s="271">
        <f>SUMIF(BM8:BM84,1, AG8:AG84)</f>
        <v>10834181.449999996</v>
      </c>
      <c r="AH84" s="272">
        <f>SUMIF(BM8:BM84,1, AH8:AH84)</f>
        <v>9905427.9499999974</v>
      </c>
      <c r="AI84" s="270">
        <f>SUMIF(BM8:BM84,1, AI8:AI84)</f>
        <v>928753.5</v>
      </c>
      <c r="AJ84" s="270">
        <f>SUMIF(BM8:BM84,1, AJ8:AJ84)</f>
        <v>928753.5</v>
      </c>
      <c r="AK84" s="291"/>
      <c r="AL84" s="271">
        <f>SUMIF(BM8:BM84,1, AL8:AL84)</f>
        <v>0</v>
      </c>
      <c r="AM84" s="272">
        <f>SUMIF(BM8:BM84,1, AM8:AM84)</f>
        <v>21798188.57</v>
      </c>
      <c r="AN84" s="270">
        <f>SUMIF(BM8:BM84,1, AN8:AN84)</f>
        <v>0</v>
      </c>
      <c r="AO84" s="270">
        <f>SUMIF(BM8:BM84,1, AO8:AO84)</f>
        <v>0</v>
      </c>
      <c r="AP84" s="291"/>
      <c r="AQ84" s="283">
        <f>SUMIF(BM8:BM84,1, AQ8:AQ84)</f>
        <v>0</v>
      </c>
      <c r="AR84" s="283">
        <f>SUMIF(BM8:BM84,1, AR8:AR84)</f>
        <v>0</v>
      </c>
      <c r="AS84" s="283">
        <f>SUMIF(BM8:BM84,1, AS8:AS84)</f>
        <v>0</v>
      </c>
      <c r="AT84" s="291"/>
      <c r="AU84" s="284">
        <f>SUMIF(BM8:BM84,1, AU8:AU84)</f>
        <v>33447148.289999999</v>
      </c>
      <c r="AV84" s="284">
        <f>SUMIF(BM8:BM84,1, AV8:AV84)</f>
        <v>0</v>
      </c>
      <c r="AW84" s="284">
        <f>SUMIF(BM8:BM84,1, AW8:AW84)</f>
        <v>0</v>
      </c>
      <c r="AX84" s="15"/>
      <c r="AY84" s="274"/>
      <c r="AZ84" s="15"/>
      <c r="BA84" s="15"/>
      <c r="BB84" s="275"/>
      <c r="BC84" s="274"/>
      <c r="BD84" s="274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298"/>
      <c r="BU84" s="298"/>
      <c r="BV84" s="298"/>
      <c r="BW84" s="298"/>
      <c r="BX84" s="15"/>
      <c r="BY84" s="15"/>
      <c r="BZ84" s="294"/>
      <c r="CA84" s="294"/>
      <c r="CB84" s="294"/>
      <c r="CC84" s="276"/>
      <c r="CD84" s="15"/>
      <c r="CE84" s="15"/>
      <c r="CF84" s="15"/>
      <c r="CG84" s="15"/>
      <c r="CH84" s="15"/>
      <c r="CI84" s="295"/>
      <c r="CJ84" s="277"/>
      <c r="CK84" s="277"/>
      <c r="CL84" s="277"/>
      <c r="CM84" s="277"/>
    </row>
    <row r="85" spans="1:91" x14ac:dyDescent="0.25">
      <c r="A85" s="286"/>
      <c r="B85" s="285" t="s">
        <v>639</v>
      </c>
      <c r="C85" s="120"/>
      <c r="D85" s="267"/>
      <c r="E85" s="279">
        <f>SUMIF(BM8:BM84,2, E8:E84)</f>
        <v>39990449.800000004</v>
      </c>
      <c r="F85" s="268">
        <f>SUMIF(BM8:BM84,2, F8:F84)</f>
        <v>40080384.290000007</v>
      </c>
      <c r="G85" s="287"/>
      <c r="H85" s="104"/>
      <c r="I85" s="280">
        <f>SUMIF(BM8:BM84,2, I8:I84)</f>
        <v>40115326.800000004</v>
      </c>
      <c r="J85" s="288"/>
      <c r="K85" s="98"/>
      <c r="L85" s="272">
        <f>SUMIF(BM8:BM84,2, L8:L84)</f>
        <v>34778447.979999982</v>
      </c>
      <c r="M85" s="281">
        <f>SUMIF(BM8:BM84,2, M8:M84)</f>
        <v>34766355.039999984</v>
      </c>
      <c r="N85" s="289"/>
      <c r="O85" s="99"/>
      <c r="P85" s="270">
        <f>SUMIF(BM8:BM84,2, P8:P84)</f>
        <v>0</v>
      </c>
      <c r="Q85" s="270">
        <f>SUMIF(BM8:BM84,2, Q8:Q84)</f>
        <v>3030331.6099999994</v>
      </c>
      <c r="R85" s="270">
        <f>SUMIF(BM8:BM84,2, R8:R84)</f>
        <v>0</v>
      </c>
      <c r="S85" s="290"/>
      <c r="T85" s="291"/>
      <c r="U85" s="292"/>
      <c r="V85" s="271">
        <f>SUMIF(BM8:BM84,2, V8:V84)</f>
        <v>0</v>
      </c>
      <c r="W85" s="271">
        <f>SUMIF(BM8:BM84,2, W8:W84)</f>
        <v>0</v>
      </c>
      <c r="X85" s="272">
        <f>SUMIF(BM8:BM84,2, X8:X84)</f>
        <v>34532756.459999986</v>
      </c>
      <c r="Y85" s="270">
        <f>SUMIF(BM8:BM84,2, Y8:Y84)</f>
        <v>0</v>
      </c>
      <c r="Z85" s="282">
        <f>SUMIF(BM8:BM84,2, Z8:Z84)</f>
        <v>2866030.61</v>
      </c>
      <c r="AA85" s="289"/>
      <c r="AB85" s="107"/>
      <c r="AC85" s="270">
        <f>SUMIF(BM8:BM84,2, AC8:AC84)</f>
        <v>2984782.7899999996</v>
      </c>
      <c r="AD85" s="270">
        <f>SUMIF(BM8:BM84,2, AD8:AD84)</f>
        <v>0</v>
      </c>
      <c r="AE85" s="291"/>
      <c r="AF85" s="293"/>
      <c r="AG85" s="271">
        <f>SUMIF(BM8:BM84,2, AG8:AG84)</f>
        <v>34094964.530000001</v>
      </c>
      <c r="AH85" s="272">
        <f>SUMIF(BM8:BM84,2, AH8:AH84)</f>
        <v>30166407.670000002</v>
      </c>
      <c r="AI85" s="270">
        <f>SUMIF(BM8:BM84,2, AI8:AI84)</f>
        <v>-1085436.4099999997</v>
      </c>
      <c r="AJ85" s="270">
        <f>SUMIF(BM8:BM84,2, AJ8:AJ84)</f>
        <v>3928556.8600000003</v>
      </c>
      <c r="AK85" s="291"/>
      <c r="AL85" s="271">
        <f>SUMIF(BM8:BM84,2, AL8:AL84)</f>
        <v>0</v>
      </c>
      <c r="AM85" s="272">
        <f>SUMIF(BM8:BM84,2, AM8:AM84)</f>
        <v>4366348.790000001</v>
      </c>
      <c r="AN85" s="270">
        <f>SUMIF(BM8:BM84,2, AN8:AN84)</f>
        <v>0</v>
      </c>
      <c r="AO85" s="270">
        <f>SUMIF(BM8:BM84,2, AO8:AO84)</f>
        <v>0</v>
      </c>
      <c r="AP85" s="291"/>
      <c r="AQ85" s="283">
        <f>SUMIF(BM8:BM84,2, AQ8:AQ84)</f>
        <v>0</v>
      </c>
      <c r="AR85" s="283">
        <f>SUMIF(BM8:BM84,2, AR8:AR84)</f>
        <v>0</v>
      </c>
      <c r="AS85" s="283">
        <f>SUMIF(BM8:BM84,2, AS8:AS84)</f>
        <v>0</v>
      </c>
      <c r="AT85" s="291"/>
      <c r="AU85" s="284">
        <f>SUMIF(BM8:BM84,2, AU8:AU84)</f>
        <v>39531643.240000002</v>
      </c>
      <c r="AV85" s="284">
        <f>SUMIF(BM8:BM84,2, AV8:AV84)</f>
        <v>0</v>
      </c>
      <c r="AW85" s="284">
        <f>SUMIF(BM8:BM84,2, AW8:AW84)</f>
        <v>0</v>
      </c>
      <c r="AX85" s="15"/>
      <c r="AY85" s="274"/>
      <c r="AZ85" s="15"/>
      <c r="BA85" s="15"/>
      <c r="BB85" s="275"/>
      <c r="BC85" s="274"/>
      <c r="BD85" s="274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298"/>
      <c r="BU85" s="298"/>
      <c r="BV85" s="298"/>
      <c r="BW85" s="298"/>
      <c r="BX85" s="15"/>
      <c r="BY85" s="15"/>
      <c r="BZ85" s="294"/>
      <c r="CA85" s="294"/>
      <c r="CB85" s="294"/>
      <c r="CC85" s="276"/>
      <c r="CD85" s="15"/>
      <c r="CE85" s="15"/>
      <c r="CF85" s="15"/>
      <c r="CG85" s="15"/>
      <c r="CH85" s="15"/>
      <c r="CI85" s="295"/>
      <c r="CJ85" s="277"/>
      <c r="CK85" s="277"/>
      <c r="CL85" s="277"/>
      <c r="CM85" s="277"/>
    </row>
    <row r="86" spans="1:91" x14ac:dyDescent="0.25">
      <c r="A86" s="286"/>
      <c r="B86" s="285" t="s">
        <v>637</v>
      </c>
      <c r="C86" s="120"/>
      <c r="D86" s="267"/>
      <c r="E86" s="279">
        <f>SUM(E8:E85)/4</f>
        <v>95799552.299999997</v>
      </c>
      <c r="F86" s="268">
        <f>SUM(F8:F85)/4</f>
        <v>97209438.590000004</v>
      </c>
      <c r="G86" s="287"/>
      <c r="H86" s="104"/>
      <c r="I86" s="280">
        <f>SUM(I8:I85)/4</f>
        <v>96986186.360000014</v>
      </c>
      <c r="J86" s="288"/>
      <c r="K86" s="98"/>
      <c r="L86" s="272">
        <f>SUM(L8:L85)/4</f>
        <v>86653862.339999989</v>
      </c>
      <c r="M86" s="281">
        <f>SUM(M8:M85)/4</f>
        <v>87222714.600000009</v>
      </c>
      <c r="N86" s="289"/>
      <c r="O86" s="99"/>
      <c r="P86" s="270">
        <f>SUM(P8:P85)/4</f>
        <v>0</v>
      </c>
      <c r="Q86" s="270">
        <f>SUM(Q8:Q85)/4</f>
        <v>7204331.6099999994</v>
      </c>
      <c r="R86" s="270">
        <f>SUM(R8:R85)/4</f>
        <v>0</v>
      </c>
      <c r="S86" s="290"/>
      <c r="T86" s="291"/>
      <c r="U86" s="292"/>
      <c r="V86" s="271">
        <f>SUM(V8:V85)/4</f>
        <v>0</v>
      </c>
      <c r="W86" s="271">
        <f>SUM(W8:W85)/4</f>
        <v>0</v>
      </c>
      <c r="X86" s="272">
        <f>SUM(X8:X85)/4</f>
        <v>66236372.979999989</v>
      </c>
      <c r="Y86" s="270">
        <f>SUM(Y8:Y85)/4</f>
        <v>0</v>
      </c>
      <c r="Z86" s="282">
        <f>SUM(Z8:Z85)/4</f>
        <v>5957457.71</v>
      </c>
      <c r="AA86" s="289"/>
      <c r="AB86" s="107"/>
      <c r="AC86" s="270">
        <f>SUM(AC8:AC85)/4</f>
        <v>5562622.7899999982</v>
      </c>
      <c r="AD86" s="270">
        <f>SUM(AD8:AD85)/4</f>
        <v>0</v>
      </c>
      <c r="AE86" s="291"/>
      <c r="AF86" s="293"/>
      <c r="AG86" s="271">
        <f>SUM(AG8:AG85)/4</f>
        <v>44929145.979999997</v>
      </c>
      <c r="AH86" s="272">
        <f>SUM(AH8:AH85)/4</f>
        <v>40071835.620000005</v>
      </c>
      <c r="AI86" s="270">
        <f>SUM(AI8:AI85)/4</f>
        <v>-156682.91000000003</v>
      </c>
      <c r="AJ86" s="270">
        <f>SUM(AJ8:AJ85)/4</f>
        <v>4857310.3599999994</v>
      </c>
      <c r="AK86" s="291"/>
      <c r="AL86" s="271">
        <f>SUM(AL8:AL85)/4</f>
        <v>0</v>
      </c>
      <c r="AM86" s="272">
        <f>SUM(AM8:AM85)/4</f>
        <v>26164537.359999996</v>
      </c>
      <c r="AN86" s="270">
        <f>SUM(AN8:AN85)/4</f>
        <v>0</v>
      </c>
      <c r="AO86" s="270">
        <f>SUM(AO8:AO85)/4</f>
        <v>0</v>
      </c>
      <c r="AP86" s="291"/>
      <c r="AQ86" s="283">
        <f>SUM(AQ8:AQ85)/4</f>
        <v>0</v>
      </c>
      <c r="AR86" s="283">
        <f>SUM(AR8:AR85)/4</f>
        <v>0</v>
      </c>
      <c r="AS86" s="283">
        <f>SUM(AS8:AS85)/4</f>
        <v>0</v>
      </c>
      <c r="AT86" s="291"/>
      <c r="AU86" s="284">
        <f>SUM(AU8:AU85)/4</f>
        <v>72978791.530000001</v>
      </c>
      <c r="AV86" s="284">
        <f>SUM(AV8:AV85)/4</f>
        <v>0</v>
      </c>
      <c r="AW86" s="284">
        <f>SUM(AW8:AW85)/4</f>
        <v>0</v>
      </c>
      <c r="AX86" s="15"/>
      <c r="AY86" s="274"/>
      <c r="AZ86" s="15"/>
      <c r="BA86" s="15"/>
      <c r="BB86" s="275"/>
      <c r="BC86" s="274"/>
      <c r="BD86" s="274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298"/>
      <c r="BU86" s="298"/>
      <c r="BV86" s="298"/>
      <c r="BW86" s="298"/>
      <c r="BX86" s="15"/>
      <c r="BY86" s="15"/>
      <c r="BZ86" s="294"/>
      <c r="CA86" s="294"/>
      <c r="CB86" s="294"/>
      <c r="CC86" s="276"/>
      <c r="CD86" s="15"/>
      <c r="CE86" s="15"/>
      <c r="CF86" s="15"/>
      <c r="CG86" s="15"/>
      <c r="CH86" s="15"/>
      <c r="CI86" s="295"/>
      <c r="CJ86" s="277"/>
      <c r="CK86" s="277"/>
      <c r="CL86" s="277"/>
      <c r="CM86" s="277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59FQJBXF3CJhpfyWfyf809AyvoIRNJa0hqOZiwkUZgK6dsH49VEF0FeE1K+mKYSK8KbErc/v/Z6bQFVUIY39+Q==" saltValue="EmW4EGX8wTw0VoCh6+Hq4A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640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641</v>
      </c>
      <c r="B9" s="255" t="s">
        <v>642</v>
      </c>
      <c r="C9" s="255" t="s">
        <v>643</v>
      </c>
      <c r="D9" s="233"/>
      <c r="E9" s="234">
        <v>210502.61</v>
      </c>
      <c r="F9" s="235">
        <v>311388.68</v>
      </c>
      <c r="G9" s="256"/>
      <c r="H9" s="257"/>
      <c r="I9" s="237"/>
      <c r="J9" s="238">
        <v>120553.54</v>
      </c>
      <c r="K9" s="249"/>
      <c r="L9" s="240"/>
      <c r="M9" s="8">
        <v>167006.9</v>
      </c>
      <c r="N9" s="241">
        <v>119553.54</v>
      </c>
      <c r="O9" s="72"/>
      <c r="P9" s="100"/>
      <c r="Q9" s="9"/>
      <c r="R9" s="9"/>
      <c r="S9" s="9"/>
      <c r="T9" s="258">
        <v>46081</v>
      </c>
      <c r="U9" s="10"/>
      <c r="V9" s="23"/>
      <c r="W9" s="11"/>
      <c r="X9" s="8">
        <v>118421.14</v>
      </c>
      <c r="Y9" s="9"/>
      <c r="Z9" s="9"/>
      <c r="AA9" s="9"/>
      <c r="AB9" s="10"/>
      <c r="AC9" s="24">
        <v>0</v>
      </c>
      <c r="AD9" s="11">
        <v>0</v>
      </c>
      <c r="AE9" s="8">
        <v>34333.51</v>
      </c>
      <c r="AF9" s="9"/>
      <c r="AG9" s="10"/>
      <c r="AH9" s="11"/>
      <c r="AI9" s="8">
        <v>84087.63</v>
      </c>
      <c r="AJ9" s="9"/>
      <c r="AK9" s="10"/>
      <c r="AL9" s="25"/>
      <c r="AM9" s="25"/>
      <c r="AN9" s="25"/>
      <c r="AO9" s="10"/>
      <c r="AP9" s="12">
        <v>111523.64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138609</v>
      </c>
      <c r="BA9" s="15">
        <v>137609</v>
      </c>
      <c r="BB9" s="15">
        <v>120553.54</v>
      </c>
      <c r="BC9" s="15">
        <v>119553.54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34333.51</v>
      </c>
      <c r="BY9" s="248">
        <v>0</v>
      </c>
      <c r="BZ9" s="248">
        <v>34333.51</v>
      </c>
      <c r="CA9" s="248">
        <v>0</v>
      </c>
      <c r="CB9" s="243" t="s">
        <v>633</v>
      </c>
      <c r="CC9" s="248">
        <v>118421.14</v>
      </c>
      <c r="CD9" s="248">
        <v>84087.63</v>
      </c>
      <c r="CE9" s="248">
        <v>111523.64</v>
      </c>
      <c r="CF9" s="248">
        <v>0</v>
      </c>
    </row>
    <row r="10" spans="1:95" x14ac:dyDescent="0.25">
      <c r="A10" s="254" t="s">
        <v>644</v>
      </c>
      <c r="B10" s="255" t="s">
        <v>645</v>
      </c>
      <c r="C10" s="255" t="s">
        <v>646</v>
      </c>
      <c r="D10" s="233"/>
      <c r="E10" s="234">
        <v>10327326.220000001</v>
      </c>
      <c r="F10" s="235">
        <v>10327326.220000001</v>
      </c>
      <c r="G10" s="256"/>
      <c r="H10" s="257"/>
      <c r="I10" s="237"/>
      <c r="J10" s="238">
        <v>10996795.85</v>
      </c>
      <c r="K10" s="249"/>
      <c r="L10" s="240"/>
      <c r="M10" s="8">
        <v>9977785.5899999999</v>
      </c>
      <c r="N10" s="241">
        <v>9976795.8499999996</v>
      </c>
      <c r="O10" s="72"/>
      <c r="P10" s="100"/>
      <c r="Q10" s="9"/>
      <c r="R10" s="9"/>
      <c r="S10" s="9"/>
      <c r="T10" s="258">
        <v>46203</v>
      </c>
      <c r="U10" s="10"/>
      <c r="V10" s="23"/>
      <c r="W10" s="11"/>
      <c r="X10" s="8">
        <v>9342202.3800000008</v>
      </c>
      <c r="Y10" s="9"/>
      <c r="Z10" s="9"/>
      <c r="AA10" s="9"/>
      <c r="AB10" s="10"/>
      <c r="AC10" s="24">
        <v>0</v>
      </c>
      <c r="AD10" s="11">
        <v>0</v>
      </c>
      <c r="AE10" s="8">
        <v>6967349.4299999997</v>
      </c>
      <c r="AF10" s="9"/>
      <c r="AG10" s="10"/>
      <c r="AH10" s="11"/>
      <c r="AI10" s="8">
        <v>2374852.9500000002</v>
      </c>
      <c r="AJ10" s="9"/>
      <c r="AK10" s="10"/>
      <c r="AL10" s="25"/>
      <c r="AM10" s="25"/>
      <c r="AN10" s="25"/>
      <c r="AO10" s="10"/>
      <c r="AP10" s="12">
        <v>9685840.0800000001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10996795.85</v>
      </c>
      <c r="BA10" s="15">
        <v>9976795.8499999996</v>
      </c>
      <c r="BB10" s="15">
        <v>10996795.85</v>
      </c>
      <c r="BC10" s="15">
        <v>9976795.8499999996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634</v>
      </c>
      <c r="BW10" s="242">
        <v>0</v>
      </c>
      <c r="BX10" s="248">
        <v>6967349.4299999997</v>
      </c>
      <c r="BY10" s="248">
        <v>0</v>
      </c>
      <c r="BZ10" s="248">
        <v>6967349.4299999997</v>
      </c>
      <c r="CA10" s="248">
        <v>0</v>
      </c>
      <c r="CB10" s="243" t="s">
        <v>633</v>
      </c>
      <c r="CC10" s="248">
        <v>9342202.3800000008</v>
      </c>
      <c r="CD10" s="248">
        <v>2374852.9500000002</v>
      </c>
      <c r="CE10" s="248">
        <v>9685840.0800000001</v>
      </c>
      <c r="CF10" s="248">
        <v>0</v>
      </c>
    </row>
    <row r="11" spans="1:95" x14ac:dyDescent="0.25">
      <c r="A11" s="254" t="s">
        <v>647</v>
      </c>
      <c r="B11" s="255" t="s">
        <v>648</v>
      </c>
      <c r="C11" s="255" t="s">
        <v>649</v>
      </c>
      <c r="D11" s="233"/>
      <c r="E11" s="234">
        <v>3523441.7</v>
      </c>
      <c r="F11" s="235">
        <v>3534211.62</v>
      </c>
      <c r="G11" s="256"/>
      <c r="H11" s="257"/>
      <c r="I11" s="237"/>
      <c r="J11" s="238">
        <v>3543296.49</v>
      </c>
      <c r="K11" s="249"/>
      <c r="L11" s="240"/>
      <c r="M11" s="8">
        <v>3190348.97</v>
      </c>
      <c r="N11" s="241">
        <v>3133296.49</v>
      </c>
      <c r="O11" s="72"/>
      <c r="P11" s="100"/>
      <c r="Q11" s="9"/>
      <c r="R11" s="9"/>
      <c r="S11" s="9"/>
      <c r="T11" s="258">
        <v>46053</v>
      </c>
      <c r="U11" s="10"/>
      <c r="V11" s="23"/>
      <c r="W11" s="11"/>
      <c r="X11" s="8">
        <v>3088616.39</v>
      </c>
      <c r="Y11" s="9"/>
      <c r="Z11" s="9"/>
      <c r="AA11" s="9"/>
      <c r="AB11" s="10"/>
      <c r="AC11" s="24">
        <v>0</v>
      </c>
      <c r="AD11" s="11">
        <v>0</v>
      </c>
      <c r="AE11" s="8">
        <v>1351653.44</v>
      </c>
      <c r="AF11" s="9"/>
      <c r="AG11" s="10"/>
      <c r="AH11" s="11"/>
      <c r="AI11" s="8">
        <v>1736962.95</v>
      </c>
      <c r="AJ11" s="9"/>
      <c r="AK11" s="10"/>
      <c r="AL11" s="25"/>
      <c r="AM11" s="25"/>
      <c r="AN11" s="25"/>
      <c r="AO11" s="10"/>
      <c r="AP11" s="12">
        <v>3543296.49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3543296.49</v>
      </c>
      <c r="BA11" s="15">
        <v>3133296.49</v>
      </c>
      <c r="BB11" s="15">
        <v>3543296.49</v>
      </c>
      <c r="BC11" s="15">
        <v>3133296.49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634</v>
      </c>
      <c r="BW11" s="242">
        <v>0</v>
      </c>
      <c r="BX11" s="242">
        <v>1351653.44</v>
      </c>
      <c r="BY11" s="242">
        <v>0</v>
      </c>
      <c r="BZ11" s="242">
        <v>1351653.44</v>
      </c>
      <c r="CA11" s="242">
        <v>0</v>
      </c>
      <c r="CB11" s="243" t="s">
        <v>633</v>
      </c>
      <c r="CC11" s="248">
        <v>3088616.39</v>
      </c>
      <c r="CD11" s="248">
        <v>1736962.95</v>
      </c>
      <c r="CE11" s="248">
        <v>3543296.49</v>
      </c>
      <c r="CF11" s="248">
        <v>0</v>
      </c>
    </row>
    <row r="12" spans="1:95" x14ac:dyDescent="0.25">
      <c r="A12" s="254" t="s">
        <v>650</v>
      </c>
      <c r="B12" s="255" t="s">
        <v>651</v>
      </c>
      <c r="C12" s="255" t="s">
        <v>652</v>
      </c>
      <c r="D12" s="233"/>
      <c r="E12" s="234">
        <v>2832729.95</v>
      </c>
      <c r="F12" s="235">
        <v>2803963.38</v>
      </c>
      <c r="G12" s="256"/>
      <c r="H12" s="257"/>
      <c r="I12" s="237"/>
      <c r="J12" s="238">
        <v>2832729.95</v>
      </c>
      <c r="K12" s="249"/>
      <c r="L12" s="240"/>
      <c r="M12" s="8">
        <v>2662965.41</v>
      </c>
      <c r="N12" s="241">
        <v>2662729.9500000002</v>
      </c>
      <c r="O12" s="71"/>
      <c r="P12" s="100"/>
      <c r="Q12" s="9"/>
      <c r="R12" s="9"/>
      <c r="S12" s="9"/>
      <c r="T12" s="258">
        <v>46081</v>
      </c>
      <c r="U12" s="10"/>
      <c r="V12" s="23"/>
      <c r="W12" s="11"/>
      <c r="X12" s="8">
        <v>2473568.46</v>
      </c>
      <c r="Y12" s="9"/>
      <c r="Z12" s="9"/>
      <c r="AA12" s="9"/>
      <c r="AB12" s="10"/>
      <c r="AC12" s="24">
        <v>0</v>
      </c>
      <c r="AD12" s="11">
        <v>0</v>
      </c>
      <c r="AE12" s="8">
        <v>1002903.63</v>
      </c>
      <c r="AF12" s="9"/>
      <c r="AG12" s="10"/>
      <c r="AH12" s="11"/>
      <c r="AI12" s="8">
        <v>1470664.83</v>
      </c>
      <c r="AJ12" s="9"/>
      <c r="AK12" s="10"/>
      <c r="AL12" s="25"/>
      <c r="AM12" s="25"/>
      <c r="AN12" s="25"/>
      <c r="AO12" s="10"/>
      <c r="AP12" s="12">
        <v>2628426.58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2832729.95</v>
      </c>
      <c r="BA12" s="15">
        <v>2662729.9500000002</v>
      </c>
      <c r="BB12" s="15">
        <v>2832729.95</v>
      </c>
      <c r="BC12" s="15">
        <v>2662729.9500000002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0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634</v>
      </c>
      <c r="BW12" s="242">
        <v>0</v>
      </c>
      <c r="BX12" s="242">
        <v>1002903.63</v>
      </c>
      <c r="BY12" s="242">
        <v>0</v>
      </c>
      <c r="BZ12" s="242">
        <v>1002903.63</v>
      </c>
      <c r="CA12" s="242">
        <v>0</v>
      </c>
      <c r="CB12" s="243" t="s">
        <v>633</v>
      </c>
      <c r="CC12" s="248">
        <v>2473568.46</v>
      </c>
      <c r="CD12" s="248">
        <v>1470664.83</v>
      </c>
      <c r="CE12" s="248">
        <v>2628426.58</v>
      </c>
      <c r="CF12" s="248">
        <v>0</v>
      </c>
    </row>
    <row r="13" spans="1:95" x14ac:dyDescent="0.25">
      <c r="A13" s="254" t="s">
        <v>653</v>
      </c>
      <c r="B13" s="255" t="s">
        <v>654</v>
      </c>
      <c r="C13" s="255" t="s">
        <v>636</v>
      </c>
      <c r="D13" s="233"/>
      <c r="E13" s="234">
        <v>1294297</v>
      </c>
      <c r="F13" s="235">
        <v>1483450.08</v>
      </c>
      <c r="G13" s="256"/>
      <c r="H13" s="257"/>
      <c r="I13" s="237"/>
      <c r="J13" s="238">
        <v>1294297</v>
      </c>
      <c r="K13" s="249"/>
      <c r="L13" s="240"/>
      <c r="M13" s="8">
        <v>1141697.17</v>
      </c>
      <c r="N13" s="241">
        <v>1184297</v>
      </c>
      <c r="O13" s="71"/>
      <c r="P13" s="100"/>
      <c r="Q13" s="9"/>
      <c r="R13" s="9"/>
      <c r="S13" s="9"/>
      <c r="T13" s="258"/>
      <c r="U13" s="10"/>
      <c r="V13" s="23"/>
      <c r="W13" s="11"/>
      <c r="X13" s="8">
        <v>123857.91</v>
      </c>
      <c r="Y13" s="9"/>
      <c r="Z13" s="9"/>
      <c r="AA13" s="9"/>
      <c r="AB13" s="10"/>
      <c r="AC13" s="24">
        <v>0</v>
      </c>
      <c r="AD13" s="11">
        <v>0</v>
      </c>
      <c r="AE13" s="8">
        <v>118193.29</v>
      </c>
      <c r="AF13" s="9"/>
      <c r="AG13" s="10"/>
      <c r="AH13" s="11"/>
      <c r="AI13" s="8">
        <v>5664.62</v>
      </c>
      <c r="AJ13" s="9"/>
      <c r="AK13" s="10"/>
      <c r="AL13" s="25"/>
      <c r="AM13" s="25"/>
      <c r="AN13" s="25"/>
      <c r="AO13" s="10"/>
      <c r="AP13" s="12">
        <v>97807.84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1294297</v>
      </c>
      <c r="BA13" s="15">
        <v>1184297</v>
      </c>
      <c r="BB13" s="15">
        <v>1294297</v>
      </c>
      <c r="BC13" s="15">
        <v>1184297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0</v>
      </c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 t="s">
        <v>634</v>
      </c>
      <c r="BW13" s="242">
        <v>0</v>
      </c>
      <c r="BX13" s="242">
        <v>118193.29</v>
      </c>
      <c r="BY13" s="242">
        <v>0</v>
      </c>
      <c r="BZ13" s="242">
        <v>118193.29</v>
      </c>
      <c r="CA13" s="242">
        <v>0</v>
      </c>
      <c r="CB13" s="243" t="s">
        <v>633</v>
      </c>
      <c r="CC13" s="248">
        <v>123857.91</v>
      </c>
      <c r="CD13" s="248">
        <v>5664.62</v>
      </c>
      <c r="CE13" s="248">
        <v>97807.84</v>
      </c>
      <c r="CF13" s="248">
        <v>0</v>
      </c>
    </row>
    <row r="14" spans="1:95" x14ac:dyDescent="0.25">
      <c r="A14" s="254" t="s">
        <v>655</v>
      </c>
      <c r="B14" s="255" t="s">
        <v>656</v>
      </c>
      <c r="C14" s="255" t="s">
        <v>652</v>
      </c>
      <c r="D14" s="233"/>
      <c r="E14" s="234">
        <v>1678093.42</v>
      </c>
      <c r="F14" s="235">
        <v>1912857.82</v>
      </c>
      <c r="G14" s="256"/>
      <c r="H14" s="257"/>
      <c r="I14" s="237"/>
      <c r="J14" s="238">
        <v>1912857.82</v>
      </c>
      <c r="K14" s="249"/>
      <c r="L14" s="240"/>
      <c r="M14" s="8">
        <v>1377590.67</v>
      </c>
      <c r="N14" s="241">
        <v>1392857.82</v>
      </c>
      <c r="O14" s="72"/>
      <c r="P14" s="100"/>
      <c r="Q14" s="9"/>
      <c r="R14" s="9"/>
      <c r="S14" s="9"/>
      <c r="T14" s="258">
        <v>46173</v>
      </c>
      <c r="U14" s="10"/>
      <c r="V14" s="23"/>
      <c r="W14" s="11"/>
      <c r="X14" s="8">
        <v>1356544.45</v>
      </c>
      <c r="Y14" s="9"/>
      <c r="Z14" s="9"/>
      <c r="AA14" s="9"/>
      <c r="AB14" s="10"/>
      <c r="AC14" s="24">
        <v>0</v>
      </c>
      <c r="AD14" s="11">
        <v>0</v>
      </c>
      <c r="AE14" s="8">
        <v>322450.68</v>
      </c>
      <c r="AF14" s="9"/>
      <c r="AG14" s="10"/>
      <c r="AH14" s="11"/>
      <c r="AI14" s="8">
        <v>1034093.77</v>
      </c>
      <c r="AJ14" s="9"/>
      <c r="AK14" s="10"/>
      <c r="AL14" s="25"/>
      <c r="AM14" s="25"/>
      <c r="AN14" s="25"/>
      <c r="AO14" s="10"/>
      <c r="AP14" s="12">
        <v>1832728.29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1912857.82</v>
      </c>
      <c r="BA14" s="15">
        <v>1392857.82</v>
      </c>
      <c r="BB14" s="15">
        <v>1912857.82</v>
      </c>
      <c r="BC14" s="15">
        <v>1392857.82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0</v>
      </c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 t="s">
        <v>634</v>
      </c>
      <c r="BW14" s="242">
        <v>0</v>
      </c>
      <c r="BX14" s="242">
        <v>322450.68</v>
      </c>
      <c r="BY14" s="242">
        <v>0</v>
      </c>
      <c r="BZ14" s="242">
        <v>322450.68</v>
      </c>
      <c r="CA14" s="242">
        <v>0</v>
      </c>
      <c r="CB14" s="243" t="s">
        <v>633</v>
      </c>
      <c r="CC14" s="248">
        <v>1356544.45</v>
      </c>
      <c r="CD14" s="248">
        <v>1034093.77</v>
      </c>
      <c r="CE14" s="248">
        <v>1832728.29</v>
      </c>
      <c r="CF14" s="248">
        <v>0</v>
      </c>
    </row>
    <row r="15" spans="1:95" x14ac:dyDescent="0.25">
      <c r="A15" s="254" t="s">
        <v>657</v>
      </c>
      <c r="B15" s="255" t="s">
        <v>658</v>
      </c>
      <c r="C15" s="255" t="s">
        <v>643</v>
      </c>
      <c r="D15" s="233"/>
      <c r="E15" s="234">
        <v>9700445.0500000007</v>
      </c>
      <c r="F15" s="235">
        <v>10338780</v>
      </c>
      <c r="G15" s="256"/>
      <c r="H15" s="257"/>
      <c r="I15" s="237"/>
      <c r="J15" s="238">
        <v>9700445.0500000007</v>
      </c>
      <c r="K15" s="249"/>
      <c r="L15" s="240"/>
      <c r="M15" s="8">
        <v>9340659.0299999993</v>
      </c>
      <c r="N15" s="241">
        <v>9282945.0500000007</v>
      </c>
      <c r="O15" s="72"/>
      <c r="P15" s="100"/>
      <c r="Q15" s="9"/>
      <c r="R15" s="9"/>
      <c r="S15" s="9"/>
      <c r="T15" s="258">
        <v>46295</v>
      </c>
      <c r="U15" s="10"/>
      <c r="V15" s="23"/>
      <c r="W15" s="11"/>
      <c r="X15" s="8">
        <v>6291753.5099999998</v>
      </c>
      <c r="Y15" s="9"/>
      <c r="Z15" s="9"/>
      <c r="AA15" s="9"/>
      <c r="AB15" s="10"/>
      <c r="AC15" s="24">
        <v>0</v>
      </c>
      <c r="AD15" s="11">
        <v>0</v>
      </c>
      <c r="AE15" s="8">
        <v>94191.08</v>
      </c>
      <c r="AF15" s="9"/>
      <c r="AG15" s="10"/>
      <c r="AH15" s="11"/>
      <c r="AI15" s="8">
        <v>6197562.4299999997</v>
      </c>
      <c r="AJ15" s="9"/>
      <c r="AK15" s="10"/>
      <c r="AL15" s="25"/>
      <c r="AM15" s="25"/>
      <c r="AN15" s="25"/>
      <c r="AO15" s="10"/>
      <c r="AP15" s="12">
        <v>6679434.6299999999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9700445.0500000007</v>
      </c>
      <c r="BA15" s="15">
        <v>9282945.0500000007</v>
      </c>
      <c r="BB15" s="15">
        <v>9700445.0500000007</v>
      </c>
      <c r="BC15" s="15">
        <v>9282945.0500000007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0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634</v>
      </c>
      <c r="BW15" s="242">
        <v>0</v>
      </c>
      <c r="BX15" s="242">
        <v>94191.08</v>
      </c>
      <c r="BY15" s="242">
        <v>0</v>
      </c>
      <c r="BZ15" s="242">
        <v>94191.08</v>
      </c>
      <c r="CA15" s="242">
        <v>0</v>
      </c>
      <c r="CB15" s="243" t="s">
        <v>633</v>
      </c>
      <c r="CC15" s="248">
        <v>6291753.5099999998</v>
      </c>
      <c r="CD15" s="248">
        <v>6197562.4299999997</v>
      </c>
      <c r="CE15" s="248">
        <v>6679434.6299999999</v>
      </c>
      <c r="CF15" s="248">
        <v>0</v>
      </c>
    </row>
    <row r="16" spans="1:95" x14ac:dyDescent="0.25">
      <c r="A16" s="254" t="s">
        <v>659</v>
      </c>
      <c r="B16" s="255" t="s">
        <v>660</v>
      </c>
      <c r="C16" s="255" t="s">
        <v>643</v>
      </c>
      <c r="D16" s="233"/>
      <c r="E16" s="234">
        <v>95347.5</v>
      </c>
      <c r="F16" s="235">
        <v>95347.5</v>
      </c>
      <c r="G16" s="256"/>
      <c r="H16" s="257"/>
      <c r="I16" s="237"/>
      <c r="J16" s="238">
        <v>130099.7</v>
      </c>
      <c r="K16" s="249"/>
      <c r="L16" s="240"/>
      <c r="M16" s="8">
        <v>93443.34</v>
      </c>
      <c r="N16" s="241">
        <v>90099.7</v>
      </c>
      <c r="O16" s="72"/>
      <c r="P16" s="100"/>
      <c r="Q16" s="9"/>
      <c r="R16" s="9"/>
      <c r="S16" s="9"/>
      <c r="T16" s="258">
        <v>46081</v>
      </c>
      <c r="U16" s="10"/>
      <c r="V16" s="23"/>
      <c r="W16" s="11"/>
      <c r="X16" s="8">
        <v>67155.31</v>
      </c>
      <c r="Y16" s="9"/>
      <c r="Z16" s="9"/>
      <c r="AA16" s="9"/>
      <c r="AB16" s="10"/>
      <c r="AC16" s="24">
        <v>0</v>
      </c>
      <c r="AD16" s="11">
        <v>0</v>
      </c>
      <c r="AE16" s="8">
        <v>798.43</v>
      </c>
      <c r="AF16" s="9"/>
      <c r="AG16" s="10"/>
      <c r="AH16" s="11"/>
      <c r="AI16" s="8">
        <v>66356.88</v>
      </c>
      <c r="AJ16" s="9"/>
      <c r="AK16" s="10"/>
      <c r="AL16" s="25"/>
      <c r="AM16" s="25"/>
      <c r="AN16" s="25"/>
      <c r="AO16" s="10"/>
      <c r="AP16" s="12">
        <v>95374.7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130099.7</v>
      </c>
      <c r="BA16" s="15">
        <v>90099.7</v>
      </c>
      <c r="BB16" s="15">
        <v>130099.7</v>
      </c>
      <c r="BC16" s="15">
        <v>90099.7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0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634</v>
      </c>
      <c r="BW16" s="242">
        <v>0</v>
      </c>
      <c r="BX16" s="242">
        <v>798.43</v>
      </c>
      <c r="BY16" s="242">
        <v>0</v>
      </c>
      <c r="BZ16" s="242">
        <v>798.43</v>
      </c>
      <c r="CA16" s="242">
        <v>0</v>
      </c>
      <c r="CB16" s="243" t="s">
        <v>633</v>
      </c>
      <c r="CC16" s="248">
        <v>67155.31</v>
      </c>
      <c r="CD16" s="248">
        <v>66356.88</v>
      </c>
      <c r="CE16" s="248">
        <v>95374.7</v>
      </c>
      <c r="CF16" s="248">
        <v>0</v>
      </c>
    </row>
    <row r="17" spans="1:84" x14ac:dyDescent="0.25">
      <c r="A17" s="254" t="s">
        <v>661</v>
      </c>
      <c r="B17" s="255" t="s">
        <v>662</v>
      </c>
      <c r="C17" s="255" t="s">
        <v>646</v>
      </c>
      <c r="D17" s="233"/>
      <c r="E17" s="234">
        <v>1320507</v>
      </c>
      <c r="F17" s="235">
        <v>1320507</v>
      </c>
      <c r="G17" s="256"/>
      <c r="H17" s="257"/>
      <c r="I17" s="237"/>
      <c r="J17" s="238">
        <v>1320507</v>
      </c>
      <c r="K17" s="249"/>
      <c r="L17" s="240"/>
      <c r="M17" s="8">
        <v>1076030.25</v>
      </c>
      <c r="N17" s="241">
        <v>1068507</v>
      </c>
      <c r="O17" s="72"/>
      <c r="P17" s="100"/>
      <c r="Q17" s="9"/>
      <c r="R17" s="9"/>
      <c r="S17" s="9"/>
      <c r="T17" s="258">
        <v>46081</v>
      </c>
      <c r="U17" s="10"/>
      <c r="V17" s="23"/>
      <c r="W17" s="11"/>
      <c r="X17" s="8">
        <v>659966.59</v>
      </c>
      <c r="Y17" s="9"/>
      <c r="Z17" s="9"/>
      <c r="AA17" s="9"/>
      <c r="AB17" s="10"/>
      <c r="AC17" s="24">
        <v>0</v>
      </c>
      <c r="AD17" s="11">
        <v>0</v>
      </c>
      <c r="AE17" s="8">
        <v>8274.0400000000009</v>
      </c>
      <c r="AF17" s="9"/>
      <c r="AG17" s="10"/>
      <c r="AH17" s="11"/>
      <c r="AI17" s="8">
        <v>651692.55000000005</v>
      </c>
      <c r="AJ17" s="9"/>
      <c r="AK17" s="10"/>
      <c r="AL17" s="25"/>
      <c r="AM17" s="25"/>
      <c r="AN17" s="25"/>
      <c r="AO17" s="10"/>
      <c r="AP17" s="12">
        <v>891634.06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1320507</v>
      </c>
      <c r="BA17" s="15">
        <v>1068507</v>
      </c>
      <c r="BB17" s="15">
        <v>1320507</v>
      </c>
      <c r="BC17" s="15">
        <v>1068507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 t="s">
        <v>634</v>
      </c>
      <c r="BW17" s="242">
        <v>0</v>
      </c>
      <c r="BX17" s="242">
        <v>8274.0400000000009</v>
      </c>
      <c r="BY17" s="242">
        <v>0</v>
      </c>
      <c r="BZ17" s="242">
        <v>8274.0400000000009</v>
      </c>
      <c r="CA17" s="242">
        <v>0</v>
      </c>
      <c r="CB17" s="243" t="s">
        <v>633</v>
      </c>
      <c r="CC17" s="248">
        <v>659966.59</v>
      </c>
      <c r="CD17" s="248">
        <v>651692.55000000005</v>
      </c>
      <c r="CE17" s="248">
        <v>891634.06</v>
      </c>
      <c r="CF17" s="248">
        <v>0</v>
      </c>
    </row>
    <row r="18" spans="1:84" x14ac:dyDescent="0.25">
      <c r="A18" s="254" t="s">
        <v>663</v>
      </c>
      <c r="B18" s="255" t="s">
        <v>664</v>
      </c>
      <c r="C18" s="255" t="s">
        <v>646</v>
      </c>
      <c r="D18" s="233"/>
      <c r="E18" s="234">
        <v>3285820.5</v>
      </c>
      <c r="F18" s="235">
        <v>3460630.45</v>
      </c>
      <c r="G18" s="256"/>
      <c r="H18" s="257"/>
      <c r="I18" s="237"/>
      <c r="J18" s="238">
        <v>3460630.45</v>
      </c>
      <c r="K18" s="249"/>
      <c r="L18" s="240"/>
      <c r="M18" s="8">
        <v>3074258.36</v>
      </c>
      <c r="N18" s="241">
        <v>3270630.45</v>
      </c>
      <c r="O18" s="72"/>
      <c r="P18" s="100"/>
      <c r="Q18" s="9"/>
      <c r="R18" s="9"/>
      <c r="S18" s="9"/>
      <c r="T18" s="258">
        <v>46265</v>
      </c>
      <c r="U18" s="10"/>
      <c r="V18" s="23"/>
      <c r="W18" s="11"/>
      <c r="X18" s="8">
        <v>2864556.19</v>
      </c>
      <c r="Y18" s="9"/>
      <c r="Z18" s="9"/>
      <c r="AA18" s="9"/>
      <c r="AB18" s="10"/>
      <c r="AC18" s="24">
        <v>0</v>
      </c>
      <c r="AD18" s="11">
        <v>0</v>
      </c>
      <c r="AE18" s="8">
        <v>1275.9100000000001</v>
      </c>
      <c r="AF18" s="9"/>
      <c r="AG18" s="10"/>
      <c r="AH18" s="11"/>
      <c r="AI18" s="8">
        <v>2863280.28</v>
      </c>
      <c r="AJ18" s="9"/>
      <c r="AK18" s="10"/>
      <c r="AL18" s="25"/>
      <c r="AM18" s="25"/>
      <c r="AN18" s="25"/>
      <c r="AO18" s="10"/>
      <c r="AP18" s="12">
        <v>3006711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3460630.45</v>
      </c>
      <c r="BA18" s="15">
        <v>3270630.45</v>
      </c>
      <c r="BB18" s="15">
        <v>3460630.45</v>
      </c>
      <c r="BC18" s="15">
        <v>3270630.45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0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 t="s">
        <v>634</v>
      </c>
      <c r="BW18" s="242">
        <v>0</v>
      </c>
      <c r="BX18" s="242">
        <v>1275.9100000000001</v>
      </c>
      <c r="BY18" s="242">
        <v>0</v>
      </c>
      <c r="BZ18" s="242">
        <v>1275.9100000000001</v>
      </c>
      <c r="CA18" s="242">
        <v>0</v>
      </c>
      <c r="CB18" s="243" t="s">
        <v>633</v>
      </c>
      <c r="CC18" s="248">
        <v>2864556.19</v>
      </c>
      <c r="CD18" s="248">
        <v>2863280.28</v>
      </c>
      <c r="CE18" s="248">
        <v>3006711</v>
      </c>
      <c r="CF18" s="248">
        <v>0</v>
      </c>
    </row>
    <row r="19" spans="1:84" x14ac:dyDescent="0.25">
      <c r="A19" s="254" t="s">
        <v>665</v>
      </c>
      <c r="B19" s="255" t="s">
        <v>666</v>
      </c>
      <c r="C19" s="255" t="s">
        <v>646</v>
      </c>
      <c r="D19" s="233"/>
      <c r="E19" s="234">
        <v>1289873.3</v>
      </c>
      <c r="F19" s="235">
        <v>1289873.3</v>
      </c>
      <c r="G19" s="256"/>
      <c r="H19" s="257"/>
      <c r="I19" s="237"/>
      <c r="J19" s="238">
        <v>1289873</v>
      </c>
      <c r="K19" s="239"/>
      <c r="L19" s="240"/>
      <c r="M19" s="8">
        <v>1037617.98</v>
      </c>
      <c r="N19" s="241">
        <v>1037873</v>
      </c>
      <c r="O19" s="72"/>
      <c r="P19" s="100"/>
      <c r="Q19" s="9"/>
      <c r="R19" s="9"/>
      <c r="S19" s="9"/>
      <c r="T19" s="258">
        <v>46053</v>
      </c>
      <c r="U19" s="10"/>
      <c r="V19" s="23"/>
      <c r="W19" s="11"/>
      <c r="X19" s="8">
        <v>1023662.02</v>
      </c>
      <c r="Y19" s="9"/>
      <c r="Z19" s="9"/>
      <c r="AA19" s="9"/>
      <c r="AB19" s="10"/>
      <c r="AC19" s="24">
        <v>0</v>
      </c>
      <c r="AD19" s="11">
        <v>0</v>
      </c>
      <c r="AE19" s="8">
        <v>4004.51</v>
      </c>
      <c r="AF19" s="9"/>
      <c r="AG19" s="10"/>
      <c r="AH19" s="11"/>
      <c r="AI19" s="8">
        <v>1019657.51</v>
      </c>
      <c r="AJ19" s="9"/>
      <c r="AK19" s="10"/>
      <c r="AL19" s="25"/>
      <c r="AM19" s="25"/>
      <c r="AN19" s="25"/>
      <c r="AO19" s="10"/>
      <c r="AP19" s="12">
        <v>1285313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1289873</v>
      </c>
      <c r="BA19" s="15">
        <v>1037873</v>
      </c>
      <c r="BB19" s="15">
        <v>1289873</v>
      </c>
      <c r="BC19" s="15">
        <v>1037873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0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 t="s">
        <v>634</v>
      </c>
      <c r="BW19" s="242">
        <v>0</v>
      </c>
      <c r="BX19" s="242">
        <v>4004.51</v>
      </c>
      <c r="BY19" s="242">
        <v>0</v>
      </c>
      <c r="BZ19" s="242">
        <v>4004.51</v>
      </c>
      <c r="CA19" s="242">
        <v>0</v>
      </c>
      <c r="CB19" s="243" t="s">
        <v>633</v>
      </c>
      <c r="CC19" s="248">
        <v>1023662.02</v>
      </c>
      <c r="CD19" s="248">
        <v>1019657.51</v>
      </c>
      <c r="CE19" s="248">
        <v>1285313</v>
      </c>
      <c r="CF19" s="248">
        <v>0</v>
      </c>
    </row>
    <row r="20" spans="1:84" x14ac:dyDescent="0.25">
      <c r="A20" s="254" t="s">
        <v>667</v>
      </c>
      <c r="B20" s="255" t="s">
        <v>668</v>
      </c>
      <c r="C20" s="255" t="s">
        <v>649</v>
      </c>
      <c r="D20" s="233"/>
      <c r="E20" s="234">
        <v>9987006.4499999993</v>
      </c>
      <c r="F20" s="235">
        <v>9987006.4499999993</v>
      </c>
      <c r="G20" s="256"/>
      <c r="H20" s="257"/>
      <c r="I20" s="237"/>
      <c r="J20" s="238">
        <v>9987006.4499999993</v>
      </c>
      <c r="K20" s="239"/>
      <c r="L20" s="240"/>
      <c r="M20" s="8">
        <v>9405813.2799999993</v>
      </c>
      <c r="N20" s="241">
        <v>9527006.4499999993</v>
      </c>
      <c r="O20" s="72"/>
      <c r="P20" s="100"/>
      <c r="Q20" s="9"/>
      <c r="R20" s="9"/>
      <c r="S20" s="9"/>
      <c r="T20" s="258">
        <v>46234</v>
      </c>
      <c r="U20" s="10"/>
      <c r="V20" s="23"/>
      <c r="W20" s="11"/>
      <c r="X20" s="8">
        <v>3801478.48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3801478.48</v>
      </c>
      <c r="AJ20" s="9"/>
      <c r="AK20" s="10"/>
      <c r="AL20" s="25"/>
      <c r="AM20" s="25"/>
      <c r="AN20" s="25"/>
      <c r="AO20" s="10"/>
      <c r="AP20" s="12">
        <v>3126995.98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9987006.4499999993</v>
      </c>
      <c r="BA20" s="15">
        <v>9527006.4499999993</v>
      </c>
      <c r="BB20" s="15">
        <v>9987006.4499999993</v>
      </c>
      <c r="BC20" s="15">
        <v>9527006.4499999993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0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 t="s">
        <v>634</v>
      </c>
      <c r="BW20" s="242">
        <v>0</v>
      </c>
      <c r="BX20" s="242">
        <v>0</v>
      </c>
      <c r="BY20" s="242">
        <v>0</v>
      </c>
      <c r="BZ20" s="242">
        <v>0</v>
      </c>
      <c r="CA20" s="242">
        <v>0</v>
      </c>
      <c r="CB20" s="243" t="s">
        <v>633</v>
      </c>
      <c r="CC20" s="248">
        <v>3801478.48</v>
      </c>
      <c r="CD20" s="248">
        <v>3801478.48</v>
      </c>
      <c r="CE20" s="248">
        <v>3126995.98</v>
      </c>
      <c r="CF20" s="248">
        <v>0</v>
      </c>
    </row>
    <row r="21" spans="1:84" x14ac:dyDescent="0.25">
      <c r="A21" s="254" t="s">
        <v>669</v>
      </c>
      <c r="B21" s="255" t="s">
        <v>670</v>
      </c>
      <c r="C21" s="255" t="s">
        <v>636</v>
      </c>
      <c r="D21" s="233"/>
      <c r="E21" s="234">
        <v>168405</v>
      </c>
      <c r="F21" s="235">
        <v>168405</v>
      </c>
      <c r="G21" s="256"/>
      <c r="H21" s="257"/>
      <c r="I21" s="237"/>
      <c r="J21" s="238">
        <v>168405</v>
      </c>
      <c r="K21" s="239"/>
      <c r="L21" s="240"/>
      <c r="M21" s="8">
        <v>4103.97</v>
      </c>
      <c r="N21" s="241">
        <v>145405</v>
      </c>
      <c r="O21" s="71"/>
      <c r="P21" s="100"/>
      <c r="Q21" s="9"/>
      <c r="R21" s="9"/>
      <c r="S21" s="9"/>
      <c r="T21" s="258">
        <v>46142</v>
      </c>
      <c r="U21" s="10"/>
      <c r="V21" s="23"/>
      <c r="W21" s="11"/>
      <c r="X21" s="8">
        <v>4103.97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4103.97</v>
      </c>
      <c r="AJ21" s="9"/>
      <c r="AK21" s="10"/>
      <c r="AL21" s="25"/>
      <c r="AM21" s="25"/>
      <c r="AN21" s="25"/>
      <c r="AO21" s="10"/>
      <c r="AP21" s="12">
        <v>0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168405</v>
      </c>
      <c r="BA21" s="15">
        <v>145405</v>
      </c>
      <c r="BB21" s="15">
        <v>168405</v>
      </c>
      <c r="BC21" s="15">
        <v>145405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0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 t="s">
        <v>634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4103.97</v>
      </c>
      <c r="CD21" s="248">
        <v>4103.97</v>
      </c>
      <c r="CE21" s="248">
        <v>0</v>
      </c>
      <c r="CF21" s="248">
        <v>0</v>
      </c>
    </row>
    <row r="22" spans="1:84" x14ac:dyDescent="0.25">
      <c r="A22" s="254" t="s">
        <v>671</v>
      </c>
      <c r="B22" s="255" t="s">
        <v>672</v>
      </c>
      <c r="C22" s="255" t="s">
        <v>652</v>
      </c>
      <c r="D22" s="233"/>
      <c r="E22" s="234">
        <v>218115</v>
      </c>
      <c r="F22" s="235">
        <v>218115</v>
      </c>
      <c r="G22" s="256"/>
      <c r="H22" s="257"/>
      <c r="I22" s="237"/>
      <c r="J22" s="238">
        <v>218115</v>
      </c>
      <c r="K22" s="239"/>
      <c r="L22" s="240"/>
      <c r="M22" s="8">
        <v>1678.33</v>
      </c>
      <c r="N22" s="241">
        <v>189115</v>
      </c>
      <c r="O22" s="71"/>
      <c r="P22" s="100"/>
      <c r="Q22" s="9"/>
      <c r="R22" s="9"/>
      <c r="S22" s="9"/>
      <c r="T22" s="258">
        <v>46112</v>
      </c>
      <c r="U22" s="10"/>
      <c r="V22" s="23"/>
      <c r="W22" s="11"/>
      <c r="X22" s="8">
        <v>1678.33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1678.33</v>
      </c>
      <c r="AJ22" s="9"/>
      <c r="AK22" s="10"/>
      <c r="AL22" s="25"/>
      <c r="AM22" s="25"/>
      <c r="AN22" s="25"/>
      <c r="AO22" s="10"/>
      <c r="AP22" s="12">
        <v>0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218115</v>
      </c>
      <c r="BA22" s="15">
        <v>189115</v>
      </c>
      <c r="BB22" s="15">
        <v>218115</v>
      </c>
      <c r="BC22" s="15">
        <v>189115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0</v>
      </c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 t="s">
        <v>634</v>
      </c>
      <c r="BW22" s="242">
        <v>0</v>
      </c>
      <c r="BX22" s="242">
        <v>0</v>
      </c>
      <c r="BY22" s="242">
        <v>0</v>
      </c>
      <c r="BZ22" s="242">
        <v>0</v>
      </c>
      <c r="CA22" s="242">
        <v>0</v>
      </c>
      <c r="CB22" s="243" t="s">
        <v>633</v>
      </c>
      <c r="CC22" s="248">
        <v>1678.33</v>
      </c>
      <c r="CD22" s="248">
        <v>1678.33</v>
      </c>
      <c r="CE22" s="248">
        <v>0</v>
      </c>
      <c r="CF22" s="248">
        <v>0</v>
      </c>
    </row>
    <row r="23" spans="1:84" x14ac:dyDescent="0.25">
      <c r="A23" s="254" t="s">
        <v>673</v>
      </c>
      <c r="B23" s="255" t="s">
        <v>674</v>
      </c>
      <c r="C23" s="255" t="s">
        <v>646</v>
      </c>
      <c r="D23" s="233"/>
      <c r="E23" s="234">
        <v>9177239.8000000007</v>
      </c>
      <c r="F23" s="235">
        <v>9177239.8000000007</v>
      </c>
      <c r="G23" s="256"/>
      <c r="H23" s="257"/>
      <c r="I23" s="237"/>
      <c r="J23" s="238">
        <v>9177239.8000000007</v>
      </c>
      <c r="K23" s="239"/>
      <c r="L23" s="240"/>
      <c r="M23" s="8">
        <v>8714918.5600000005</v>
      </c>
      <c r="N23" s="241">
        <v>8702239.8000000007</v>
      </c>
      <c r="O23" s="71"/>
      <c r="P23" s="100"/>
      <c r="Q23" s="9"/>
      <c r="R23" s="9"/>
      <c r="S23" s="9"/>
      <c r="T23" s="258">
        <v>46418</v>
      </c>
      <c r="U23" s="10"/>
      <c r="V23" s="23"/>
      <c r="W23" s="11"/>
      <c r="X23" s="8">
        <v>479050.68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479050.68</v>
      </c>
      <c r="AJ23" s="9"/>
      <c r="AK23" s="10"/>
      <c r="AL23" s="25"/>
      <c r="AM23" s="25"/>
      <c r="AN23" s="25"/>
      <c r="AO23" s="10"/>
      <c r="AP23" s="12">
        <v>462062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9177239.8000000007</v>
      </c>
      <c r="BA23" s="15">
        <v>8702239.8000000007</v>
      </c>
      <c r="BB23" s="15">
        <v>9177239.8000000007</v>
      </c>
      <c r="BC23" s="15">
        <v>8702239.8000000007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0</v>
      </c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 t="s">
        <v>634</v>
      </c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479050.68</v>
      </c>
      <c r="CD23" s="248">
        <v>479050.68</v>
      </c>
      <c r="CE23" s="248">
        <v>462062</v>
      </c>
      <c r="CF23" s="248">
        <v>0</v>
      </c>
    </row>
    <row r="24" spans="1:84" x14ac:dyDescent="0.25">
      <c r="A24" s="254" t="s">
        <v>675</v>
      </c>
      <c r="B24" s="255" t="s">
        <v>676</v>
      </c>
      <c r="C24" s="255" t="s">
        <v>643</v>
      </c>
      <c r="D24" s="233"/>
      <c r="E24" s="234">
        <v>699952</v>
      </c>
      <c r="F24" s="235">
        <v>699952</v>
      </c>
      <c r="G24" s="256"/>
      <c r="H24" s="257"/>
      <c r="I24" s="237"/>
      <c r="J24" s="238">
        <v>699952</v>
      </c>
      <c r="K24" s="239"/>
      <c r="L24" s="240"/>
      <c r="M24" s="8">
        <v>609496.55000000005</v>
      </c>
      <c r="N24" s="241">
        <v>654952</v>
      </c>
      <c r="O24" s="71"/>
      <c r="P24" s="100"/>
      <c r="Q24" s="9"/>
      <c r="R24" s="9"/>
      <c r="S24" s="9"/>
      <c r="T24" s="258">
        <v>46203</v>
      </c>
      <c r="U24" s="10"/>
      <c r="V24" s="23"/>
      <c r="W24" s="11"/>
      <c r="X24" s="8">
        <v>7000.71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7000.71</v>
      </c>
      <c r="AJ24" s="9"/>
      <c r="AK24" s="10"/>
      <c r="AL24" s="25"/>
      <c r="AM24" s="25"/>
      <c r="AN24" s="25"/>
      <c r="AO24" s="10"/>
      <c r="AP24" s="12">
        <v>0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699952</v>
      </c>
      <c r="BA24" s="15">
        <v>654952</v>
      </c>
      <c r="BB24" s="15">
        <v>699952</v>
      </c>
      <c r="BC24" s="15">
        <v>654952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0</v>
      </c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 t="s">
        <v>634</v>
      </c>
      <c r="BW24" s="242">
        <v>0</v>
      </c>
      <c r="BX24" s="242">
        <v>0</v>
      </c>
      <c r="BY24" s="242">
        <v>0</v>
      </c>
      <c r="BZ24" s="242">
        <v>0</v>
      </c>
      <c r="CA24" s="242">
        <v>0</v>
      </c>
      <c r="CB24" s="243" t="s">
        <v>633</v>
      </c>
      <c r="CC24" s="248">
        <v>7000.71</v>
      </c>
      <c r="CD24" s="248">
        <v>7000.71</v>
      </c>
      <c r="CE24" s="248">
        <v>0</v>
      </c>
      <c r="CF24" s="248">
        <v>0</v>
      </c>
    </row>
    <row r="25" spans="1:84" x14ac:dyDescent="0.25">
      <c r="A25" s="254"/>
      <c r="B25" s="93" t="s">
        <v>677</v>
      </c>
      <c r="C25" s="255"/>
      <c r="D25" s="233"/>
      <c r="E25" s="279">
        <f>SUM(E8:E24)</f>
        <v>55809102.5</v>
      </c>
      <c r="F25" s="268">
        <f>SUM(F8:F24)</f>
        <v>57129054.299999997</v>
      </c>
      <c r="G25" s="256"/>
      <c r="H25" s="257"/>
      <c r="I25" s="237"/>
      <c r="J25" s="280">
        <f>SUM(J8:J24)</f>
        <v>56852804.099999994</v>
      </c>
      <c r="K25" s="249"/>
      <c r="L25" s="240"/>
      <c r="M25" s="272">
        <f>SUM(M8:M24)</f>
        <v>51875414.359999999</v>
      </c>
      <c r="N25" s="281">
        <f>SUM(N8:N24)</f>
        <v>52438304.099999994</v>
      </c>
      <c r="O25" s="71"/>
      <c r="P25" s="100"/>
      <c r="Q25" s="270">
        <f>SUM(Q8:Q24)</f>
        <v>0</v>
      </c>
      <c r="R25" s="270">
        <f>SUM(R8:R24)</f>
        <v>0</v>
      </c>
      <c r="S25" s="270">
        <f>SUM(S8:S24)</f>
        <v>0</v>
      </c>
      <c r="T25" s="258"/>
      <c r="U25" s="10"/>
      <c r="V25" s="23"/>
      <c r="W25" s="271">
        <f>SUM(W8:W24)</f>
        <v>0</v>
      </c>
      <c r="X25" s="272">
        <f>SUM(X8:X24)</f>
        <v>31703616.52</v>
      </c>
      <c r="Y25" s="270">
        <f>SUM(Y8:Y24)</f>
        <v>0</v>
      </c>
      <c r="Z25" s="270">
        <f>SUM(Z8:Z24)</f>
        <v>0</v>
      </c>
      <c r="AA25" s="270">
        <f>SUM(AA8:AA24)</f>
        <v>0</v>
      </c>
      <c r="AB25" s="10"/>
      <c r="AC25" s="24"/>
      <c r="AD25" s="271">
        <f>SUM(AD8:AD24)</f>
        <v>0</v>
      </c>
      <c r="AE25" s="272">
        <f>SUM(AE8:AE24)</f>
        <v>9905427.9499999974</v>
      </c>
      <c r="AF25" s="270">
        <f>SUM(AF8:AF24)</f>
        <v>0</v>
      </c>
      <c r="AG25" s="10"/>
      <c r="AH25" s="271">
        <f>SUM(AH8:AH24)</f>
        <v>0</v>
      </c>
      <c r="AI25" s="272">
        <f>SUM(AI8:AI24)</f>
        <v>21798188.57</v>
      </c>
      <c r="AJ25" s="270">
        <f>SUM(AJ8:AJ24)</f>
        <v>0</v>
      </c>
      <c r="AK25" s="10"/>
      <c r="AL25" s="283">
        <f>SUM(AL8:AL24)</f>
        <v>0</v>
      </c>
      <c r="AM25" s="283">
        <f>SUM(AM8:AM24)</f>
        <v>0</v>
      </c>
      <c r="AN25" s="283">
        <f>SUM(AN8:AN24)</f>
        <v>0</v>
      </c>
      <c r="AO25" s="10"/>
      <c r="AP25" s="284">
        <f>SUM(AP8:AP24)</f>
        <v>33447148.289999999</v>
      </c>
      <c r="AQ25" s="284">
        <f>SUM(AQ8:AQ24)</f>
        <v>0</v>
      </c>
      <c r="AR25" s="284">
        <f>SUM(AR8:AR24)</f>
        <v>0</v>
      </c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93" t="s">
        <v>632</v>
      </c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 t="s">
        <v>678</v>
      </c>
      <c r="B28" s="255" t="s">
        <v>679</v>
      </c>
      <c r="C28" s="255" t="s">
        <v>636</v>
      </c>
      <c r="D28" s="233"/>
      <c r="E28" s="234">
        <v>0</v>
      </c>
      <c r="F28" s="235">
        <v>0</v>
      </c>
      <c r="G28" s="256"/>
      <c r="H28" s="257"/>
      <c r="I28" s="237"/>
      <c r="J28" s="238">
        <v>186.05</v>
      </c>
      <c r="K28" s="239"/>
      <c r="L28" s="240"/>
      <c r="M28" s="8">
        <v>186.05</v>
      </c>
      <c r="N28" s="241">
        <v>186.05</v>
      </c>
      <c r="O28" s="239"/>
      <c r="P28" s="240"/>
      <c r="Q28" s="9"/>
      <c r="R28" s="9"/>
      <c r="S28" s="9"/>
      <c r="T28" s="258">
        <v>45657</v>
      </c>
      <c r="U28" s="10"/>
      <c r="V28" s="23"/>
      <c r="W28" s="11"/>
      <c r="X28" s="8">
        <v>186.05</v>
      </c>
      <c r="Y28" s="9"/>
      <c r="Z28" s="9"/>
      <c r="AA28" s="9"/>
      <c r="AB28" s="10"/>
      <c r="AC28" s="24">
        <v>0</v>
      </c>
      <c r="AD28" s="11">
        <v>0</v>
      </c>
      <c r="AE28" s="8">
        <v>186.05</v>
      </c>
      <c r="AF28" s="9"/>
      <c r="AG28" s="10"/>
      <c r="AH28" s="11"/>
      <c r="AI28" s="8">
        <v>0</v>
      </c>
      <c r="AJ28" s="9"/>
      <c r="AK28" s="10"/>
      <c r="AL28" s="25"/>
      <c r="AM28" s="25"/>
      <c r="AN28" s="25"/>
      <c r="AO28" s="10"/>
      <c r="AP28" s="12">
        <v>186.05</v>
      </c>
      <c r="AQ28" s="12"/>
      <c r="AR28" s="12"/>
      <c r="AS28" s="242"/>
      <c r="AT28" s="243"/>
      <c r="AU28" s="242"/>
      <c r="AV28" s="242"/>
      <c r="AW28" s="244"/>
      <c r="AX28" s="243"/>
      <c r="AY28" s="243"/>
      <c r="AZ28" s="242">
        <v>0</v>
      </c>
      <c r="BA28" s="242">
        <v>0</v>
      </c>
      <c r="BB28" s="242">
        <v>0</v>
      </c>
      <c r="BC28" s="242">
        <v>0</v>
      </c>
      <c r="BD28" s="242">
        <v>0</v>
      </c>
      <c r="BE28" s="242">
        <v>0</v>
      </c>
      <c r="BF28" s="242"/>
      <c r="BG28" s="242">
        <v>2</v>
      </c>
      <c r="BH28" s="242">
        <v>0</v>
      </c>
      <c r="BI28" s="242">
        <v>0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>
        <v>0</v>
      </c>
      <c r="BX28" s="242">
        <v>186.05</v>
      </c>
      <c r="BY28" s="242">
        <v>0</v>
      </c>
      <c r="BZ28" s="242">
        <v>186.05</v>
      </c>
      <c r="CA28" s="242">
        <v>0</v>
      </c>
      <c r="CB28" s="243" t="s">
        <v>633</v>
      </c>
      <c r="CC28" s="248">
        <v>186.05</v>
      </c>
      <c r="CD28" s="248">
        <v>0</v>
      </c>
      <c r="CE28" s="248">
        <v>186.05</v>
      </c>
      <c r="CF28" s="248">
        <v>0</v>
      </c>
    </row>
    <row r="29" spans="1:84" x14ac:dyDescent="0.25">
      <c r="A29" s="254" t="s">
        <v>680</v>
      </c>
      <c r="B29" s="255" t="s">
        <v>681</v>
      </c>
      <c r="C29" s="255" t="s">
        <v>636</v>
      </c>
      <c r="D29" s="233"/>
      <c r="E29" s="234">
        <v>0</v>
      </c>
      <c r="F29" s="235">
        <v>0</v>
      </c>
      <c r="G29" s="256"/>
      <c r="H29" s="257"/>
      <c r="I29" s="237"/>
      <c r="J29" s="238">
        <v>230.04</v>
      </c>
      <c r="K29" s="239"/>
      <c r="L29" s="240"/>
      <c r="M29" s="8">
        <v>174.5</v>
      </c>
      <c r="N29" s="241">
        <v>174.5</v>
      </c>
      <c r="O29" s="71"/>
      <c r="P29" s="100"/>
      <c r="Q29" s="9"/>
      <c r="R29" s="9"/>
      <c r="S29" s="9"/>
      <c r="T29" s="258">
        <v>45657</v>
      </c>
      <c r="U29" s="10"/>
      <c r="V29" s="23"/>
      <c r="W29" s="11"/>
      <c r="X29" s="8">
        <v>174.5</v>
      </c>
      <c r="Y29" s="9"/>
      <c r="Z29" s="9"/>
      <c r="AA29" s="9"/>
      <c r="AB29" s="10"/>
      <c r="AC29" s="24">
        <v>0</v>
      </c>
      <c r="AD29" s="11">
        <v>0</v>
      </c>
      <c r="AE29" s="8">
        <v>174.5</v>
      </c>
      <c r="AF29" s="9"/>
      <c r="AG29" s="10"/>
      <c r="AH29" s="11"/>
      <c r="AI29" s="8">
        <v>0</v>
      </c>
      <c r="AJ29" s="9"/>
      <c r="AK29" s="10"/>
      <c r="AL29" s="25"/>
      <c r="AM29" s="25"/>
      <c r="AN29" s="25"/>
      <c r="AO29" s="10"/>
      <c r="AP29" s="12">
        <v>230.04</v>
      </c>
      <c r="AQ29" s="12"/>
      <c r="AR29" s="12"/>
      <c r="AS29" s="242"/>
      <c r="AT29" s="243"/>
      <c r="AU29" s="242"/>
      <c r="AV29" s="242"/>
      <c r="AW29" s="244"/>
      <c r="AX29" s="243"/>
      <c r="AY29" s="243"/>
      <c r="AZ29" s="242">
        <v>0</v>
      </c>
      <c r="BA29" s="242">
        <v>0</v>
      </c>
      <c r="BB29" s="242">
        <v>0</v>
      </c>
      <c r="BC29" s="242">
        <v>0</v>
      </c>
      <c r="BD29" s="242">
        <v>0</v>
      </c>
      <c r="BE29" s="242">
        <v>0</v>
      </c>
      <c r="BF29" s="242"/>
      <c r="BG29" s="242">
        <v>2</v>
      </c>
      <c r="BH29" s="242">
        <v>0</v>
      </c>
      <c r="BI29" s="242">
        <v>0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>
        <v>0</v>
      </c>
      <c r="BX29" s="242">
        <v>174.5</v>
      </c>
      <c r="BY29" s="242">
        <v>0</v>
      </c>
      <c r="BZ29" s="242">
        <v>174.5</v>
      </c>
      <c r="CA29" s="242">
        <v>0</v>
      </c>
      <c r="CB29" s="243" t="s">
        <v>633</v>
      </c>
      <c r="CC29" s="248">
        <v>174.5</v>
      </c>
      <c r="CD29" s="248">
        <v>0</v>
      </c>
      <c r="CE29" s="248">
        <v>230.04</v>
      </c>
      <c r="CF29" s="248">
        <v>0</v>
      </c>
    </row>
    <row r="30" spans="1:84" x14ac:dyDescent="0.25">
      <c r="A30" s="254" t="s">
        <v>682</v>
      </c>
      <c r="B30" s="255" t="s">
        <v>683</v>
      </c>
      <c r="C30" s="255" t="s">
        <v>636</v>
      </c>
      <c r="D30" s="233"/>
      <c r="E30" s="234">
        <v>0</v>
      </c>
      <c r="F30" s="235">
        <v>0</v>
      </c>
      <c r="G30" s="256"/>
      <c r="H30" s="257"/>
      <c r="I30" s="237"/>
      <c r="J30" s="238">
        <v>720.48</v>
      </c>
      <c r="K30" s="239"/>
      <c r="L30" s="240"/>
      <c r="M30" s="8">
        <v>720.48</v>
      </c>
      <c r="N30" s="241">
        <v>720.48</v>
      </c>
      <c r="O30" s="71"/>
      <c r="P30" s="100"/>
      <c r="Q30" s="9"/>
      <c r="R30" s="9"/>
      <c r="S30" s="9"/>
      <c r="T30" s="258">
        <v>45657</v>
      </c>
      <c r="U30" s="10"/>
      <c r="V30" s="23"/>
      <c r="W30" s="11"/>
      <c r="X30" s="8">
        <v>720.48</v>
      </c>
      <c r="Y30" s="9"/>
      <c r="Z30" s="9"/>
      <c r="AA30" s="9"/>
      <c r="AB30" s="10"/>
      <c r="AC30" s="24">
        <v>0</v>
      </c>
      <c r="AD30" s="11">
        <v>0</v>
      </c>
      <c r="AE30" s="8">
        <v>720.48</v>
      </c>
      <c r="AF30" s="9"/>
      <c r="AG30" s="10"/>
      <c r="AH30" s="11"/>
      <c r="AI30" s="8">
        <v>0</v>
      </c>
      <c r="AJ30" s="9"/>
      <c r="AK30" s="10"/>
      <c r="AL30" s="25"/>
      <c r="AM30" s="25"/>
      <c r="AN30" s="25"/>
      <c r="AO30" s="10"/>
      <c r="AP30" s="12">
        <v>720.48</v>
      </c>
      <c r="AQ30" s="12"/>
      <c r="AR30" s="12"/>
      <c r="AS30" s="242"/>
      <c r="AT30" s="243"/>
      <c r="AU30" s="242"/>
      <c r="AV30" s="242"/>
      <c r="AW30" s="244"/>
      <c r="AX30" s="243"/>
      <c r="AY30" s="243"/>
      <c r="AZ30" s="242">
        <v>0</v>
      </c>
      <c r="BA30" s="242">
        <v>0</v>
      </c>
      <c r="BB30" s="242">
        <v>0</v>
      </c>
      <c r="BC30" s="242">
        <v>0</v>
      </c>
      <c r="BD30" s="242">
        <v>0</v>
      </c>
      <c r="BE30" s="242">
        <v>0</v>
      </c>
      <c r="BF30" s="242"/>
      <c r="BG30" s="242">
        <v>2</v>
      </c>
      <c r="BH30" s="242">
        <v>0</v>
      </c>
      <c r="BI30" s="242">
        <v>0</v>
      </c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>
        <v>0</v>
      </c>
      <c r="BX30" s="242">
        <v>720.48</v>
      </c>
      <c r="BY30" s="242">
        <v>0</v>
      </c>
      <c r="BZ30" s="242">
        <v>720.48</v>
      </c>
      <c r="CA30" s="242">
        <v>0</v>
      </c>
      <c r="CB30" s="243" t="s">
        <v>633</v>
      </c>
      <c r="CC30" s="248">
        <v>720.48</v>
      </c>
      <c r="CD30" s="248">
        <v>0</v>
      </c>
      <c r="CE30" s="248">
        <v>720.48</v>
      </c>
      <c r="CF30" s="248">
        <v>0</v>
      </c>
    </row>
    <row r="31" spans="1:84" x14ac:dyDescent="0.25">
      <c r="A31" s="254" t="s">
        <v>684</v>
      </c>
      <c r="B31" s="255" t="s">
        <v>685</v>
      </c>
      <c r="C31" s="255" t="s">
        <v>636</v>
      </c>
      <c r="D31" s="233"/>
      <c r="E31" s="234">
        <v>0</v>
      </c>
      <c r="F31" s="235">
        <v>0</v>
      </c>
      <c r="G31" s="256"/>
      <c r="H31" s="257"/>
      <c r="I31" s="237"/>
      <c r="J31" s="238">
        <v>0</v>
      </c>
      <c r="K31" s="239"/>
      <c r="L31" s="240"/>
      <c r="M31" s="8">
        <v>401638.3</v>
      </c>
      <c r="N31" s="241">
        <v>401638.3</v>
      </c>
      <c r="O31" s="71"/>
      <c r="P31" s="100"/>
      <c r="Q31" s="9"/>
      <c r="R31" s="9"/>
      <c r="S31" s="9"/>
      <c r="T31" s="258">
        <v>45657</v>
      </c>
      <c r="U31" s="10"/>
      <c r="V31" s="23"/>
      <c r="W31" s="11"/>
      <c r="X31" s="8">
        <v>401638.3</v>
      </c>
      <c r="Y31" s="9"/>
      <c r="Z31" s="9"/>
      <c r="AA31" s="9"/>
      <c r="AB31" s="10"/>
      <c r="AC31" s="24">
        <v>0</v>
      </c>
      <c r="AD31" s="11">
        <v>0</v>
      </c>
      <c r="AE31" s="8">
        <v>401638.3</v>
      </c>
      <c r="AF31" s="9"/>
      <c r="AG31" s="10"/>
      <c r="AH31" s="11"/>
      <c r="AI31" s="8">
        <v>0</v>
      </c>
      <c r="AJ31" s="9"/>
      <c r="AK31" s="10"/>
      <c r="AL31" s="25"/>
      <c r="AM31" s="25"/>
      <c r="AN31" s="25"/>
      <c r="AO31" s="10"/>
      <c r="AP31" s="12">
        <v>0</v>
      </c>
      <c r="AQ31" s="12"/>
      <c r="AR31" s="12"/>
      <c r="AS31" s="242"/>
      <c r="AT31" s="243"/>
      <c r="AU31" s="242"/>
      <c r="AV31" s="242"/>
      <c r="AW31" s="244"/>
      <c r="AX31" s="243"/>
      <c r="AY31" s="243"/>
      <c r="AZ31" s="242">
        <v>0</v>
      </c>
      <c r="BA31" s="242">
        <v>0</v>
      </c>
      <c r="BB31" s="242">
        <v>0</v>
      </c>
      <c r="BC31" s="242">
        <v>0</v>
      </c>
      <c r="BD31" s="242">
        <v>0</v>
      </c>
      <c r="BE31" s="242">
        <v>0</v>
      </c>
      <c r="BF31" s="242"/>
      <c r="BG31" s="242">
        <v>2</v>
      </c>
      <c r="BH31" s="242">
        <v>0</v>
      </c>
      <c r="BI31" s="242">
        <v>0</v>
      </c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>
        <v>0</v>
      </c>
      <c r="BX31" s="242">
        <v>401638.3</v>
      </c>
      <c r="BY31" s="242">
        <v>0</v>
      </c>
      <c r="BZ31" s="242">
        <v>401638.3</v>
      </c>
      <c r="CA31" s="242">
        <v>0</v>
      </c>
      <c r="CB31" s="243" t="s">
        <v>633</v>
      </c>
      <c r="CC31" s="248">
        <v>401638.3</v>
      </c>
      <c r="CD31" s="248">
        <v>0</v>
      </c>
      <c r="CE31" s="248">
        <v>0</v>
      </c>
      <c r="CF31" s="248">
        <v>0</v>
      </c>
    </row>
    <row r="32" spans="1:84" x14ac:dyDescent="0.25">
      <c r="A32" s="254" t="s">
        <v>686</v>
      </c>
      <c r="B32" s="255" t="s">
        <v>687</v>
      </c>
      <c r="C32" s="255" t="s">
        <v>636</v>
      </c>
      <c r="D32" s="233"/>
      <c r="E32" s="234">
        <v>0</v>
      </c>
      <c r="F32" s="235">
        <v>0</v>
      </c>
      <c r="G32" s="256"/>
      <c r="H32" s="257"/>
      <c r="I32" s="237"/>
      <c r="J32" s="238">
        <v>0</v>
      </c>
      <c r="K32" s="239"/>
      <c r="L32" s="240"/>
      <c r="M32" s="8">
        <v>100018.15</v>
      </c>
      <c r="N32" s="241">
        <v>100018.15</v>
      </c>
      <c r="O32" s="71"/>
      <c r="P32" s="100"/>
      <c r="Q32" s="9"/>
      <c r="R32" s="9"/>
      <c r="S32" s="9"/>
      <c r="T32" s="258">
        <v>45657</v>
      </c>
      <c r="U32" s="10"/>
      <c r="V32" s="23"/>
      <c r="W32" s="11"/>
      <c r="X32" s="8">
        <v>100018.15</v>
      </c>
      <c r="Y32" s="9"/>
      <c r="Z32" s="9"/>
      <c r="AA32" s="9"/>
      <c r="AB32" s="10"/>
      <c r="AC32" s="24">
        <v>0</v>
      </c>
      <c r="AD32" s="11">
        <v>0</v>
      </c>
      <c r="AE32" s="8">
        <v>100018.15</v>
      </c>
      <c r="AF32" s="9"/>
      <c r="AG32" s="10"/>
      <c r="AH32" s="11"/>
      <c r="AI32" s="8">
        <v>0</v>
      </c>
      <c r="AJ32" s="9"/>
      <c r="AK32" s="10"/>
      <c r="AL32" s="25"/>
      <c r="AM32" s="25"/>
      <c r="AN32" s="25"/>
      <c r="AO32" s="10"/>
      <c r="AP32" s="12">
        <v>0</v>
      </c>
      <c r="AQ32" s="12"/>
      <c r="AR32" s="12"/>
      <c r="AS32" s="242"/>
      <c r="AT32" s="243"/>
      <c r="AU32" s="242"/>
      <c r="AV32" s="242"/>
      <c r="AW32" s="244"/>
      <c r="AX32" s="243"/>
      <c r="AY32" s="243"/>
      <c r="AZ32" s="242">
        <v>0</v>
      </c>
      <c r="BA32" s="242">
        <v>0</v>
      </c>
      <c r="BB32" s="242">
        <v>0</v>
      </c>
      <c r="BC32" s="242">
        <v>0</v>
      </c>
      <c r="BD32" s="242">
        <v>0</v>
      </c>
      <c r="BE32" s="242">
        <v>0</v>
      </c>
      <c r="BF32" s="242"/>
      <c r="BG32" s="242">
        <v>2</v>
      </c>
      <c r="BH32" s="242">
        <v>0</v>
      </c>
      <c r="BI32" s="242">
        <v>0</v>
      </c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>
        <v>0</v>
      </c>
      <c r="BX32" s="242">
        <v>100018.15</v>
      </c>
      <c r="BY32" s="242">
        <v>0</v>
      </c>
      <c r="BZ32" s="242">
        <v>100018.15</v>
      </c>
      <c r="CA32" s="242">
        <v>0</v>
      </c>
      <c r="CB32" s="243" t="s">
        <v>633</v>
      </c>
      <c r="CC32" s="248">
        <v>100018.15</v>
      </c>
      <c r="CD32" s="248">
        <v>0</v>
      </c>
      <c r="CE32" s="248">
        <v>0</v>
      </c>
      <c r="CF32" s="248">
        <v>0</v>
      </c>
    </row>
    <row r="33" spans="1:84" x14ac:dyDescent="0.25">
      <c r="A33" s="254" t="s">
        <v>688</v>
      </c>
      <c r="B33" s="255" t="s">
        <v>689</v>
      </c>
      <c r="C33" s="255" t="s">
        <v>636</v>
      </c>
      <c r="D33" s="233"/>
      <c r="E33" s="234">
        <v>0</v>
      </c>
      <c r="F33" s="235">
        <v>0</v>
      </c>
      <c r="G33" s="256"/>
      <c r="H33" s="257"/>
      <c r="I33" s="237"/>
      <c r="J33" s="238">
        <v>0</v>
      </c>
      <c r="K33" s="239"/>
      <c r="L33" s="240"/>
      <c r="M33" s="8">
        <v>4661.51</v>
      </c>
      <c r="N33" s="241">
        <v>4661.51</v>
      </c>
      <c r="O33" s="71"/>
      <c r="P33" s="100"/>
      <c r="Q33" s="9"/>
      <c r="R33" s="9"/>
      <c r="S33" s="9"/>
      <c r="T33" s="258">
        <v>45657</v>
      </c>
      <c r="U33" s="10"/>
      <c r="V33" s="23"/>
      <c r="W33" s="11"/>
      <c r="X33" s="8">
        <v>4661.51</v>
      </c>
      <c r="Y33" s="9"/>
      <c r="Z33" s="9"/>
      <c r="AA33" s="9"/>
      <c r="AB33" s="10"/>
      <c r="AC33" s="24">
        <v>0</v>
      </c>
      <c r="AD33" s="11">
        <v>0</v>
      </c>
      <c r="AE33" s="8">
        <v>4661.51</v>
      </c>
      <c r="AF33" s="9"/>
      <c r="AG33" s="10"/>
      <c r="AH33" s="11"/>
      <c r="AI33" s="8">
        <v>0</v>
      </c>
      <c r="AJ33" s="9"/>
      <c r="AK33" s="10"/>
      <c r="AL33" s="25"/>
      <c r="AM33" s="25"/>
      <c r="AN33" s="25"/>
      <c r="AO33" s="10"/>
      <c r="AP33" s="12">
        <v>0</v>
      </c>
      <c r="AQ33" s="12"/>
      <c r="AR33" s="12"/>
      <c r="AS33" s="242"/>
      <c r="AT33" s="243"/>
      <c r="AU33" s="242"/>
      <c r="AV33" s="242"/>
      <c r="AW33" s="244"/>
      <c r="AX33" s="243"/>
      <c r="AY33" s="243"/>
      <c r="AZ33" s="242">
        <v>0</v>
      </c>
      <c r="BA33" s="242">
        <v>0</v>
      </c>
      <c r="BB33" s="242">
        <v>0</v>
      </c>
      <c r="BC33" s="242">
        <v>0</v>
      </c>
      <c r="BD33" s="242">
        <v>0</v>
      </c>
      <c r="BE33" s="242">
        <v>0</v>
      </c>
      <c r="BF33" s="242"/>
      <c r="BG33" s="242">
        <v>2</v>
      </c>
      <c r="BH33" s="242">
        <v>0</v>
      </c>
      <c r="BI33" s="242">
        <v>0</v>
      </c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>
        <v>0</v>
      </c>
      <c r="BX33" s="242">
        <v>4661.51</v>
      </c>
      <c r="BY33" s="242">
        <v>0</v>
      </c>
      <c r="BZ33" s="242">
        <v>4661.51</v>
      </c>
      <c r="CA33" s="242">
        <v>0</v>
      </c>
      <c r="CB33" s="243" t="s">
        <v>633</v>
      </c>
      <c r="CC33" s="248">
        <v>4661.51</v>
      </c>
      <c r="CD33" s="248">
        <v>0</v>
      </c>
      <c r="CE33" s="248">
        <v>0</v>
      </c>
      <c r="CF33" s="248">
        <v>0</v>
      </c>
    </row>
    <row r="34" spans="1:84" x14ac:dyDescent="0.25">
      <c r="A34" s="254" t="s">
        <v>690</v>
      </c>
      <c r="B34" s="255" t="s">
        <v>691</v>
      </c>
      <c r="C34" s="255" t="s">
        <v>636</v>
      </c>
      <c r="D34" s="233"/>
      <c r="E34" s="234">
        <v>0</v>
      </c>
      <c r="F34" s="235">
        <v>0</v>
      </c>
      <c r="G34" s="256"/>
      <c r="H34" s="257"/>
      <c r="I34" s="237"/>
      <c r="J34" s="238">
        <v>0</v>
      </c>
      <c r="K34" s="239"/>
      <c r="L34" s="240"/>
      <c r="M34" s="8">
        <v>275636.14</v>
      </c>
      <c r="N34" s="241">
        <v>275636.14</v>
      </c>
      <c r="O34" s="71"/>
      <c r="P34" s="100"/>
      <c r="Q34" s="9"/>
      <c r="R34" s="9"/>
      <c r="S34" s="9"/>
      <c r="T34" s="258">
        <v>45657</v>
      </c>
      <c r="U34" s="10"/>
      <c r="V34" s="23"/>
      <c r="W34" s="11"/>
      <c r="X34" s="8">
        <v>275636.14</v>
      </c>
      <c r="Y34" s="9"/>
      <c r="Z34" s="9"/>
      <c r="AA34" s="9"/>
      <c r="AB34" s="10"/>
      <c r="AC34" s="24">
        <v>0</v>
      </c>
      <c r="AD34" s="11">
        <v>0</v>
      </c>
      <c r="AE34" s="8">
        <v>275636.14</v>
      </c>
      <c r="AF34" s="9"/>
      <c r="AG34" s="10"/>
      <c r="AH34" s="11"/>
      <c r="AI34" s="8">
        <v>0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42"/>
      <c r="AT34" s="243"/>
      <c r="AU34" s="242"/>
      <c r="AV34" s="242"/>
      <c r="AW34" s="244"/>
      <c r="AX34" s="243"/>
      <c r="AY34" s="243"/>
      <c r="AZ34" s="242">
        <v>0</v>
      </c>
      <c r="BA34" s="242">
        <v>0</v>
      </c>
      <c r="BB34" s="242">
        <v>0</v>
      </c>
      <c r="BC34" s="242">
        <v>0</v>
      </c>
      <c r="BD34" s="242">
        <v>0</v>
      </c>
      <c r="BE34" s="242">
        <v>0</v>
      </c>
      <c r="BF34" s="242"/>
      <c r="BG34" s="242">
        <v>2</v>
      </c>
      <c r="BH34" s="242">
        <v>0</v>
      </c>
      <c r="BI34" s="242">
        <v>0</v>
      </c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>
        <v>0</v>
      </c>
      <c r="BX34" s="242">
        <v>275636.14</v>
      </c>
      <c r="BY34" s="242">
        <v>0</v>
      </c>
      <c r="BZ34" s="242">
        <v>275636.14</v>
      </c>
      <c r="CA34" s="242">
        <v>0</v>
      </c>
      <c r="CB34" s="243" t="s">
        <v>633</v>
      </c>
      <c r="CC34" s="248">
        <v>275636.14</v>
      </c>
      <c r="CD34" s="248">
        <v>0</v>
      </c>
      <c r="CE34" s="248">
        <v>0</v>
      </c>
      <c r="CF34" s="248">
        <v>0</v>
      </c>
    </row>
    <row r="35" spans="1:84" x14ac:dyDescent="0.25">
      <c r="A35" s="254" t="s">
        <v>692</v>
      </c>
      <c r="B35" s="255" t="s">
        <v>693</v>
      </c>
      <c r="C35" s="255" t="s">
        <v>636</v>
      </c>
      <c r="D35" s="233"/>
      <c r="E35" s="234">
        <v>0</v>
      </c>
      <c r="F35" s="235">
        <v>0</v>
      </c>
      <c r="G35" s="256"/>
      <c r="H35" s="257"/>
      <c r="I35" s="237"/>
      <c r="J35" s="238">
        <v>0</v>
      </c>
      <c r="K35" s="239"/>
      <c r="L35" s="240"/>
      <c r="M35" s="8">
        <v>29408.39</v>
      </c>
      <c r="N35" s="241">
        <v>29408.39</v>
      </c>
      <c r="O35" s="71"/>
      <c r="P35" s="100"/>
      <c r="Q35" s="9"/>
      <c r="R35" s="9"/>
      <c r="S35" s="9"/>
      <c r="T35" s="258">
        <v>45657</v>
      </c>
      <c r="U35" s="10"/>
      <c r="V35" s="23"/>
      <c r="W35" s="11"/>
      <c r="X35" s="8">
        <v>29408.39</v>
      </c>
      <c r="Y35" s="9"/>
      <c r="Z35" s="9"/>
      <c r="AA35" s="9"/>
      <c r="AB35" s="10"/>
      <c r="AC35" s="24">
        <v>0</v>
      </c>
      <c r="AD35" s="11">
        <v>0</v>
      </c>
      <c r="AE35" s="8">
        <v>29408.39</v>
      </c>
      <c r="AF35" s="9"/>
      <c r="AG35" s="10"/>
      <c r="AH35" s="11"/>
      <c r="AI35" s="8">
        <v>0</v>
      </c>
      <c r="AJ35" s="9"/>
      <c r="AK35" s="10"/>
      <c r="AL35" s="25"/>
      <c r="AM35" s="25"/>
      <c r="AN35" s="25"/>
      <c r="AO35" s="10"/>
      <c r="AP35" s="12">
        <v>0</v>
      </c>
      <c r="AQ35" s="12"/>
      <c r="AR35" s="12"/>
      <c r="AS35" s="242"/>
      <c r="AT35" s="243"/>
      <c r="AU35" s="242"/>
      <c r="AV35" s="242"/>
      <c r="AW35" s="244"/>
      <c r="AX35" s="243"/>
      <c r="AY35" s="243"/>
      <c r="AZ35" s="242">
        <v>0</v>
      </c>
      <c r="BA35" s="242">
        <v>0</v>
      </c>
      <c r="BB35" s="242">
        <v>0</v>
      </c>
      <c r="BC35" s="242">
        <v>0</v>
      </c>
      <c r="BD35" s="242">
        <v>0</v>
      </c>
      <c r="BE35" s="242">
        <v>0</v>
      </c>
      <c r="BF35" s="242"/>
      <c r="BG35" s="242">
        <v>2</v>
      </c>
      <c r="BH35" s="242">
        <v>0</v>
      </c>
      <c r="BI35" s="242">
        <v>0</v>
      </c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>
        <v>0</v>
      </c>
      <c r="BX35" s="242">
        <v>29408.39</v>
      </c>
      <c r="BY35" s="242">
        <v>0</v>
      </c>
      <c r="BZ35" s="242">
        <v>29408.39</v>
      </c>
      <c r="CA35" s="242">
        <v>0</v>
      </c>
      <c r="CB35" s="243" t="s">
        <v>633</v>
      </c>
      <c r="CC35" s="248">
        <v>29408.39</v>
      </c>
      <c r="CD35" s="248">
        <v>0</v>
      </c>
      <c r="CE35" s="248">
        <v>0</v>
      </c>
      <c r="CF35" s="248">
        <v>0</v>
      </c>
    </row>
    <row r="36" spans="1:84" x14ac:dyDescent="0.25">
      <c r="A36" s="254" t="s">
        <v>694</v>
      </c>
      <c r="B36" s="255" t="s">
        <v>695</v>
      </c>
      <c r="C36" s="255" t="s">
        <v>636</v>
      </c>
      <c r="D36" s="233"/>
      <c r="E36" s="234">
        <v>0</v>
      </c>
      <c r="F36" s="235">
        <v>0</v>
      </c>
      <c r="G36" s="256"/>
      <c r="H36" s="257"/>
      <c r="I36" s="237"/>
      <c r="J36" s="238">
        <v>0</v>
      </c>
      <c r="K36" s="239"/>
      <c r="L36" s="240"/>
      <c r="M36" s="8">
        <v>417362.06</v>
      </c>
      <c r="N36" s="241">
        <v>417362.06</v>
      </c>
      <c r="O36" s="71"/>
      <c r="P36" s="100"/>
      <c r="Q36" s="9"/>
      <c r="R36" s="9"/>
      <c r="S36" s="9"/>
      <c r="T36" s="258">
        <v>46022</v>
      </c>
      <c r="U36" s="10"/>
      <c r="V36" s="23"/>
      <c r="W36" s="11"/>
      <c r="X36" s="8">
        <v>417362.06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417362.06</v>
      </c>
      <c r="AJ36" s="9"/>
      <c r="AK36" s="10"/>
      <c r="AL36" s="25"/>
      <c r="AM36" s="25"/>
      <c r="AN36" s="25"/>
      <c r="AO36" s="10"/>
      <c r="AP36" s="12">
        <v>0</v>
      </c>
      <c r="AQ36" s="12"/>
      <c r="AR36" s="12"/>
      <c r="AS36" s="242"/>
      <c r="AT36" s="243"/>
      <c r="AU36" s="242"/>
      <c r="AV36" s="242"/>
      <c r="AW36" s="244"/>
      <c r="AX36" s="243" t="s">
        <v>630</v>
      </c>
      <c r="AY36" s="243" t="s">
        <v>630</v>
      </c>
      <c r="AZ36" s="242">
        <v>0</v>
      </c>
      <c r="BA36" s="15">
        <v>417362.06</v>
      </c>
      <c r="BB36" s="15">
        <v>0</v>
      </c>
      <c r="BC36" s="15">
        <v>417362.06</v>
      </c>
      <c r="BD36" s="242">
        <v>0</v>
      </c>
      <c r="BE36" s="242">
        <v>0</v>
      </c>
      <c r="BF36" s="242"/>
      <c r="BG36" s="242">
        <v>2</v>
      </c>
      <c r="BH36" s="242">
        <v>0</v>
      </c>
      <c r="BI36" s="242">
        <v>0</v>
      </c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 t="s">
        <v>634</v>
      </c>
      <c r="BW36" s="242">
        <v>0</v>
      </c>
      <c r="BX36" s="242">
        <v>0</v>
      </c>
      <c r="BY36" s="242">
        <v>0</v>
      </c>
      <c r="BZ36" s="242">
        <v>0</v>
      </c>
      <c r="CA36" s="242">
        <v>0</v>
      </c>
      <c r="CB36" s="243" t="s">
        <v>633</v>
      </c>
      <c r="CC36" s="248">
        <v>417362.06</v>
      </c>
      <c r="CD36" s="248">
        <v>417362.06</v>
      </c>
      <c r="CE36" s="248">
        <v>0</v>
      </c>
      <c r="CF36" s="248">
        <v>0</v>
      </c>
    </row>
    <row r="37" spans="1:84" x14ac:dyDescent="0.25">
      <c r="A37" s="254" t="s">
        <v>696</v>
      </c>
      <c r="B37" s="255" t="s">
        <v>697</v>
      </c>
      <c r="C37" s="255" t="s">
        <v>636</v>
      </c>
      <c r="D37" s="233"/>
      <c r="E37" s="234">
        <v>0</v>
      </c>
      <c r="F37" s="235">
        <v>0</v>
      </c>
      <c r="G37" s="256"/>
      <c r="H37" s="257"/>
      <c r="I37" s="237"/>
      <c r="J37" s="238">
        <v>0</v>
      </c>
      <c r="K37" s="239"/>
      <c r="L37" s="240"/>
      <c r="M37" s="8">
        <v>136442.70000000001</v>
      </c>
      <c r="N37" s="241">
        <v>136442.70000000001</v>
      </c>
      <c r="O37" s="71"/>
      <c r="P37" s="100"/>
      <c r="Q37" s="9"/>
      <c r="R37" s="9"/>
      <c r="S37" s="9"/>
      <c r="T37" s="258">
        <v>46022</v>
      </c>
      <c r="U37" s="10"/>
      <c r="V37" s="23"/>
      <c r="W37" s="11"/>
      <c r="X37" s="8">
        <v>136442.70000000001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136442.70000000001</v>
      </c>
      <c r="AJ37" s="9"/>
      <c r="AK37" s="10"/>
      <c r="AL37" s="25"/>
      <c r="AM37" s="25"/>
      <c r="AN37" s="25"/>
      <c r="AO37" s="10"/>
      <c r="AP37" s="12">
        <v>0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242">
        <v>0</v>
      </c>
      <c r="BA37" s="15">
        <v>136442.70000000001</v>
      </c>
      <c r="BB37" s="15">
        <v>0</v>
      </c>
      <c r="BC37" s="15">
        <v>136442.70000000001</v>
      </c>
      <c r="BD37" s="242">
        <v>0</v>
      </c>
      <c r="BE37" s="242">
        <v>0</v>
      </c>
      <c r="BF37" s="242"/>
      <c r="BG37" s="242">
        <v>2</v>
      </c>
      <c r="BH37" s="242">
        <v>0</v>
      </c>
      <c r="BI37" s="242">
        <v>0</v>
      </c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 t="s">
        <v>634</v>
      </c>
      <c r="BW37" s="242">
        <v>0</v>
      </c>
      <c r="BX37" s="242">
        <v>0</v>
      </c>
      <c r="BY37" s="242">
        <v>0</v>
      </c>
      <c r="BZ37" s="242">
        <v>0</v>
      </c>
      <c r="CA37" s="242">
        <v>0</v>
      </c>
      <c r="CB37" s="243" t="s">
        <v>633</v>
      </c>
      <c r="CC37" s="248">
        <v>136442.70000000001</v>
      </c>
      <c r="CD37" s="248">
        <v>136442.70000000001</v>
      </c>
      <c r="CE37" s="248">
        <v>0</v>
      </c>
      <c r="CF37" s="248">
        <v>0</v>
      </c>
    </row>
    <row r="38" spans="1:84" x14ac:dyDescent="0.25">
      <c r="A38" s="254" t="s">
        <v>698</v>
      </c>
      <c r="B38" s="255" t="s">
        <v>699</v>
      </c>
      <c r="C38" s="255" t="s">
        <v>636</v>
      </c>
      <c r="D38" s="233"/>
      <c r="E38" s="234">
        <v>0</v>
      </c>
      <c r="F38" s="235">
        <v>0</v>
      </c>
      <c r="G38" s="256"/>
      <c r="H38" s="257"/>
      <c r="I38" s="237"/>
      <c r="J38" s="238">
        <v>0</v>
      </c>
      <c r="K38" s="239"/>
      <c r="L38" s="240"/>
      <c r="M38" s="8">
        <v>4786.46</v>
      </c>
      <c r="N38" s="241">
        <v>4786.46</v>
      </c>
      <c r="O38" s="71"/>
      <c r="P38" s="100"/>
      <c r="Q38" s="9"/>
      <c r="R38" s="9"/>
      <c r="S38" s="9"/>
      <c r="T38" s="258">
        <v>46022</v>
      </c>
      <c r="U38" s="10"/>
      <c r="V38" s="23"/>
      <c r="W38" s="11"/>
      <c r="X38" s="8">
        <v>4786.46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4786.46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42"/>
      <c r="AT38" s="243"/>
      <c r="AU38" s="242"/>
      <c r="AV38" s="242"/>
      <c r="AW38" s="244"/>
      <c r="AX38" s="243" t="s">
        <v>630</v>
      </c>
      <c r="AY38" s="243" t="s">
        <v>630</v>
      </c>
      <c r="AZ38" s="242">
        <v>0</v>
      </c>
      <c r="BA38" s="15">
        <v>4786.46</v>
      </c>
      <c r="BB38" s="15">
        <v>0</v>
      </c>
      <c r="BC38" s="15">
        <v>4786.46</v>
      </c>
      <c r="BD38" s="242">
        <v>0</v>
      </c>
      <c r="BE38" s="242">
        <v>0</v>
      </c>
      <c r="BF38" s="242"/>
      <c r="BG38" s="242">
        <v>2</v>
      </c>
      <c r="BH38" s="242">
        <v>0</v>
      </c>
      <c r="BI38" s="242">
        <v>0</v>
      </c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 t="s">
        <v>634</v>
      </c>
      <c r="BW38" s="242">
        <v>0</v>
      </c>
      <c r="BX38" s="242">
        <v>0</v>
      </c>
      <c r="BY38" s="242">
        <v>0</v>
      </c>
      <c r="BZ38" s="242">
        <v>0</v>
      </c>
      <c r="CA38" s="242">
        <v>0</v>
      </c>
      <c r="CB38" s="243" t="s">
        <v>633</v>
      </c>
      <c r="CC38" s="248">
        <v>4786.46</v>
      </c>
      <c r="CD38" s="248">
        <v>4786.46</v>
      </c>
      <c r="CE38" s="248">
        <v>0</v>
      </c>
      <c r="CF38" s="248">
        <v>0</v>
      </c>
    </row>
    <row r="39" spans="1:84" x14ac:dyDescent="0.25">
      <c r="A39" s="254" t="s">
        <v>700</v>
      </c>
      <c r="B39" s="255" t="s">
        <v>701</v>
      </c>
      <c r="C39" s="255" t="s">
        <v>636</v>
      </c>
      <c r="D39" s="233"/>
      <c r="E39" s="234">
        <v>0</v>
      </c>
      <c r="F39" s="235">
        <v>0</v>
      </c>
      <c r="G39" s="256"/>
      <c r="H39" s="257"/>
      <c r="I39" s="237"/>
      <c r="J39" s="238">
        <v>0</v>
      </c>
      <c r="K39" s="239"/>
      <c r="L39" s="240"/>
      <c r="M39" s="8">
        <v>7603.98</v>
      </c>
      <c r="N39" s="241">
        <v>7603.98</v>
      </c>
      <c r="O39" s="71"/>
      <c r="P39" s="100"/>
      <c r="Q39" s="9"/>
      <c r="R39" s="9"/>
      <c r="S39" s="9"/>
      <c r="T39" s="258">
        <v>46022</v>
      </c>
      <c r="U39" s="10"/>
      <c r="V39" s="23"/>
      <c r="W39" s="11"/>
      <c r="X39" s="8">
        <v>7603.98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7603.98</v>
      </c>
      <c r="AJ39" s="9"/>
      <c r="AK39" s="10"/>
      <c r="AL39" s="25"/>
      <c r="AM39" s="25"/>
      <c r="AN39" s="25"/>
      <c r="AO39" s="10"/>
      <c r="AP39" s="12">
        <v>0</v>
      </c>
      <c r="AQ39" s="12"/>
      <c r="AR39" s="12"/>
      <c r="AS39" s="242"/>
      <c r="AT39" s="243"/>
      <c r="AU39" s="242"/>
      <c r="AV39" s="242"/>
      <c r="AW39" s="244"/>
      <c r="AX39" s="243" t="s">
        <v>630</v>
      </c>
      <c r="AY39" s="243" t="s">
        <v>630</v>
      </c>
      <c r="AZ39" s="242">
        <v>0</v>
      </c>
      <c r="BA39" s="15">
        <v>7603.98</v>
      </c>
      <c r="BB39" s="15">
        <v>0</v>
      </c>
      <c r="BC39" s="15">
        <v>7603.98</v>
      </c>
      <c r="BD39" s="242">
        <v>0</v>
      </c>
      <c r="BE39" s="242">
        <v>0</v>
      </c>
      <c r="BF39" s="242"/>
      <c r="BG39" s="242">
        <v>2</v>
      </c>
      <c r="BH39" s="242">
        <v>0</v>
      </c>
      <c r="BI39" s="242">
        <v>0</v>
      </c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 t="s">
        <v>634</v>
      </c>
      <c r="BW39" s="242">
        <v>0</v>
      </c>
      <c r="BX39" s="242">
        <v>0</v>
      </c>
      <c r="BY39" s="242">
        <v>0</v>
      </c>
      <c r="BZ39" s="242">
        <v>0</v>
      </c>
      <c r="CA39" s="242">
        <v>0</v>
      </c>
      <c r="CB39" s="243" t="s">
        <v>633</v>
      </c>
      <c r="CC39" s="248">
        <v>7603.98</v>
      </c>
      <c r="CD39" s="248">
        <v>7603.98</v>
      </c>
      <c r="CE39" s="248">
        <v>0</v>
      </c>
      <c r="CF39" s="248">
        <v>0</v>
      </c>
    </row>
    <row r="40" spans="1:84" x14ac:dyDescent="0.25">
      <c r="A40" s="254" t="s">
        <v>702</v>
      </c>
      <c r="B40" s="255" t="s">
        <v>703</v>
      </c>
      <c r="C40" s="255" t="s">
        <v>636</v>
      </c>
      <c r="D40" s="233"/>
      <c r="E40" s="234">
        <v>0</v>
      </c>
      <c r="F40" s="235">
        <v>0</v>
      </c>
      <c r="G40" s="256"/>
      <c r="H40" s="257"/>
      <c r="I40" s="237"/>
      <c r="J40" s="238">
        <v>0</v>
      </c>
      <c r="K40" s="239"/>
      <c r="L40" s="240"/>
      <c r="M40" s="8">
        <v>345355.21</v>
      </c>
      <c r="N40" s="241">
        <v>345355.21</v>
      </c>
      <c r="O40" s="71"/>
      <c r="P40" s="100"/>
      <c r="Q40" s="9"/>
      <c r="R40" s="9"/>
      <c r="S40" s="9"/>
      <c r="T40" s="258">
        <v>46022</v>
      </c>
      <c r="U40" s="10"/>
      <c r="V40" s="23"/>
      <c r="W40" s="11"/>
      <c r="X40" s="8">
        <v>345355.21</v>
      </c>
      <c r="Y40" s="9"/>
      <c r="Z40" s="9"/>
      <c r="AA40" s="9"/>
      <c r="AB40" s="10"/>
      <c r="AC40" s="24">
        <v>0</v>
      </c>
      <c r="AD40" s="11">
        <v>0</v>
      </c>
      <c r="AE40" s="8">
        <v>0</v>
      </c>
      <c r="AF40" s="9"/>
      <c r="AG40" s="10"/>
      <c r="AH40" s="11"/>
      <c r="AI40" s="8">
        <v>345355.21</v>
      </c>
      <c r="AJ40" s="9"/>
      <c r="AK40" s="10"/>
      <c r="AL40" s="25"/>
      <c r="AM40" s="25"/>
      <c r="AN40" s="25"/>
      <c r="AO40" s="10"/>
      <c r="AP40" s="12">
        <v>0</v>
      </c>
      <c r="AQ40" s="12"/>
      <c r="AR40" s="12"/>
      <c r="AS40" s="242"/>
      <c r="AT40" s="243"/>
      <c r="AU40" s="242"/>
      <c r="AV40" s="242"/>
      <c r="AW40" s="244"/>
      <c r="AX40" s="243" t="s">
        <v>630</v>
      </c>
      <c r="AY40" s="243" t="s">
        <v>630</v>
      </c>
      <c r="AZ40" s="242">
        <v>0</v>
      </c>
      <c r="BA40" s="15">
        <v>345355.21</v>
      </c>
      <c r="BB40" s="15">
        <v>0</v>
      </c>
      <c r="BC40" s="15">
        <v>345355.21</v>
      </c>
      <c r="BD40" s="242">
        <v>0</v>
      </c>
      <c r="BE40" s="242">
        <v>0</v>
      </c>
      <c r="BF40" s="242"/>
      <c r="BG40" s="242">
        <v>2</v>
      </c>
      <c r="BH40" s="242">
        <v>0</v>
      </c>
      <c r="BI40" s="242">
        <v>0</v>
      </c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 t="s">
        <v>634</v>
      </c>
      <c r="BW40" s="242">
        <v>0</v>
      </c>
      <c r="BX40" s="242">
        <v>0</v>
      </c>
      <c r="BY40" s="242">
        <v>0</v>
      </c>
      <c r="BZ40" s="242">
        <v>0</v>
      </c>
      <c r="CA40" s="242">
        <v>0</v>
      </c>
      <c r="CB40" s="243" t="s">
        <v>633</v>
      </c>
      <c r="CC40" s="248">
        <v>345355.21</v>
      </c>
      <c r="CD40" s="248">
        <v>345355.21</v>
      </c>
      <c r="CE40" s="248">
        <v>0</v>
      </c>
      <c r="CF40" s="248">
        <v>0</v>
      </c>
    </row>
    <row r="41" spans="1:84" x14ac:dyDescent="0.25">
      <c r="A41" s="254" t="s">
        <v>704</v>
      </c>
      <c r="B41" s="255" t="s">
        <v>705</v>
      </c>
      <c r="C41" s="255" t="s">
        <v>636</v>
      </c>
      <c r="D41" s="233"/>
      <c r="E41" s="234">
        <v>0</v>
      </c>
      <c r="F41" s="235">
        <v>0</v>
      </c>
      <c r="G41" s="256"/>
      <c r="H41" s="257"/>
      <c r="I41" s="237"/>
      <c r="J41" s="238">
        <v>0</v>
      </c>
      <c r="K41" s="239"/>
      <c r="L41" s="240"/>
      <c r="M41" s="8">
        <v>28346.720000000001</v>
      </c>
      <c r="N41" s="241">
        <v>28346.720000000001</v>
      </c>
      <c r="O41" s="71"/>
      <c r="P41" s="100"/>
      <c r="Q41" s="9"/>
      <c r="R41" s="9"/>
      <c r="S41" s="9"/>
      <c r="T41" s="258">
        <v>46022</v>
      </c>
      <c r="U41" s="10"/>
      <c r="V41" s="23"/>
      <c r="W41" s="11"/>
      <c r="X41" s="8">
        <v>28346.720000000001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28346.720000000001</v>
      </c>
      <c r="AJ41" s="9"/>
      <c r="AK41" s="10"/>
      <c r="AL41" s="25"/>
      <c r="AM41" s="25"/>
      <c r="AN41" s="25"/>
      <c r="AO41" s="10"/>
      <c r="AP41" s="12">
        <v>0</v>
      </c>
      <c r="AQ41" s="12"/>
      <c r="AR41" s="12"/>
      <c r="AS41" s="242"/>
      <c r="AT41" s="243"/>
      <c r="AU41" s="242"/>
      <c r="AV41" s="242"/>
      <c r="AW41" s="244"/>
      <c r="AX41" s="243" t="s">
        <v>630</v>
      </c>
      <c r="AY41" s="243" t="s">
        <v>630</v>
      </c>
      <c r="AZ41" s="242">
        <v>0</v>
      </c>
      <c r="BA41" s="15">
        <v>28346.720000000001</v>
      </c>
      <c r="BB41" s="15">
        <v>0</v>
      </c>
      <c r="BC41" s="15">
        <v>28346.720000000001</v>
      </c>
      <c r="BD41" s="242">
        <v>0</v>
      </c>
      <c r="BE41" s="242">
        <v>0</v>
      </c>
      <c r="BF41" s="242"/>
      <c r="BG41" s="242">
        <v>2</v>
      </c>
      <c r="BH41" s="242">
        <v>0</v>
      </c>
      <c r="BI41" s="242">
        <v>0</v>
      </c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 t="s">
        <v>634</v>
      </c>
      <c r="BW41" s="242">
        <v>0</v>
      </c>
      <c r="BX41" s="242">
        <v>0</v>
      </c>
      <c r="BY41" s="242">
        <v>0</v>
      </c>
      <c r="BZ41" s="242">
        <v>0</v>
      </c>
      <c r="CA41" s="242">
        <v>0</v>
      </c>
      <c r="CB41" s="243" t="s">
        <v>633</v>
      </c>
      <c r="CC41" s="248">
        <v>28346.720000000001</v>
      </c>
      <c r="CD41" s="248">
        <v>28346.720000000001</v>
      </c>
      <c r="CE41" s="248">
        <v>0</v>
      </c>
      <c r="CF41" s="248">
        <v>0</v>
      </c>
    </row>
    <row r="42" spans="1:84" x14ac:dyDescent="0.25">
      <c r="A42" s="254" t="s">
        <v>706</v>
      </c>
      <c r="B42" s="255" t="s">
        <v>707</v>
      </c>
      <c r="C42" s="255" t="s">
        <v>636</v>
      </c>
      <c r="D42" s="233"/>
      <c r="E42" s="234">
        <v>5362640.13</v>
      </c>
      <c r="F42" s="235">
        <v>5362640.13</v>
      </c>
      <c r="G42" s="256"/>
      <c r="H42" s="257"/>
      <c r="I42" s="237"/>
      <c r="J42" s="238">
        <v>5362640.13</v>
      </c>
      <c r="K42" s="239"/>
      <c r="L42" s="240"/>
      <c r="M42" s="8">
        <v>4887847.41</v>
      </c>
      <c r="N42" s="241">
        <v>4889304.4800000004</v>
      </c>
      <c r="O42" s="71"/>
      <c r="P42" s="100"/>
      <c r="Q42" s="9"/>
      <c r="R42" s="9"/>
      <c r="S42" s="9"/>
      <c r="T42" s="258"/>
      <c r="U42" s="10"/>
      <c r="V42" s="23"/>
      <c r="W42" s="11"/>
      <c r="X42" s="8">
        <v>4889304.4800000004</v>
      </c>
      <c r="Y42" s="9"/>
      <c r="Z42" s="9"/>
      <c r="AA42" s="9"/>
      <c r="AB42" s="10"/>
      <c r="AC42" s="24">
        <v>0</v>
      </c>
      <c r="AD42" s="11">
        <v>0</v>
      </c>
      <c r="AE42" s="8">
        <v>4889304.4800000004</v>
      </c>
      <c r="AF42" s="9"/>
      <c r="AG42" s="10"/>
      <c r="AH42" s="11"/>
      <c r="AI42" s="8">
        <v>0</v>
      </c>
      <c r="AJ42" s="9"/>
      <c r="AK42" s="10"/>
      <c r="AL42" s="25"/>
      <c r="AM42" s="25"/>
      <c r="AN42" s="25"/>
      <c r="AO42" s="10"/>
      <c r="AP42" s="12">
        <v>5362640.1399999997</v>
      </c>
      <c r="AQ42" s="12"/>
      <c r="AR42" s="12"/>
      <c r="AS42" s="242"/>
      <c r="AT42" s="243"/>
      <c r="AU42" s="242"/>
      <c r="AV42" s="242"/>
      <c r="AW42" s="244"/>
      <c r="AX42" s="243"/>
      <c r="AY42" s="243"/>
      <c r="AZ42" s="242">
        <v>0</v>
      </c>
      <c r="BA42" s="242">
        <v>0</v>
      </c>
      <c r="BB42" s="242">
        <v>0</v>
      </c>
      <c r="BC42" s="242">
        <v>0</v>
      </c>
      <c r="BD42" s="242">
        <v>0</v>
      </c>
      <c r="BE42" s="242">
        <v>0</v>
      </c>
      <c r="BF42" s="242"/>
      <c r="BG42" s="242">
        <v>2</v>
      </c>
      <c r="BH42" s="242">
        <v>0</v>
      </c>
      <c r="BI42" s="242">
        <v>0</v>
      </c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>
        <v>0</v>
      </c>
      <c r="BX42" s="242">
        <v>4889304.4800000004</v>
      </c>
      <c r="BY42" s="242">
        <v>0</v>
      </c>
      <c r="BZ42" s="242">
        <v>4889304.4800000004</v>
      </c>
      <c r="CA42" s="242">
        <v>0</v>
      </c>
      <c r="CB42" s="243" t="s">
        <v>633</v>
      </c>
      <c r="CC42" s="248">
        <v>4889304.4800000004</v>
      </c>
      <c r="CD42" s="248">
        <v>0</v>
      </c>
      <c r="CE42" s="248">
        <v>5362640.1399999997</v>
      </c>
      <c r="CF42" s="248">
        <v>0</v>
      </c>
    </row>
    <row r="43" spans="1:84" x14ac:dyDescent="0.25">
      <c r="A43" s="254" t="s">
        <v>708</v>
      </c>
      <c r="B43" s="255" t="s">
        <v>709</v>
      </c>
      <c r="C43" s="255" t="s">
        <v>636</v>
      </c>
      <c r="D43" s="233"/>
      <c r="E43" s="234">
        <v>700348.29</v>
      </c>
      <c r="F43" s="235">
        <v>700348.29</v>
      </c>
      <c r="G43" s="256"/>
      <c r="H43" s="257"/>
      <c r="I43" s="237"/>
      <c r="J43" s="238">
        <v>700348.29</v>
      </c>
      <c r="K43" s="239"/>
      <c r="L43" s="240"/>
      <c r="M43" s="8">
        <v>643930.43000000005</v>
      </c>
      <c r="N43" s="241">
        <v>643930.43000000005</v>
      </c>
      <c r="O43" s="71"/>
      <c r="P43" s="100"/>
      <c r="Q43" s="9"/>
      <c r="R43" s="9"/>
      <c r="S43" s="9"/>
      <c r="T43" s="258">
        <v>45744</v>
      </c>
      <c r="U43" s="10"/>
      <c r="V43" s="23"/>
      <c r="W43" s="11"/>
      <c r="X43" s="8">
        <v>643731.93000000005</v>
      </c>
      <c r="Y43" s="9"/>
      <c r="Z43" s="9"/>
      <c r="AA43" s="9"/>
      <c r="AB43" s="10"/>
      <c r="AC43" s="24">
        <v>0</v>
      </c>
      <c r="AD43" s="11">
        <v>0</v>
      </c>
      <c r="AE43" s="8">
        <v>643731.93000000005</v>
      </c>
      <c r="AF43" s="9"/>
      <c r="AG43" s="10"/>
      <c r="AH43" s="11"/>
      <c r="AI43" s="8">
        <v>0</v>
      </c>
      <c r="AJ43" s="9"/>
      <c r="AK43" s="10"/>
      <c r="AL43" s="25"/>
      <c r="AM43" s="25"/>
      <c r="AN43" s="25"/>
      <c r="AO43" s="10"/>
      <c r="AP43" s="12">
        <v>696901.06</v>
      </c>
      <c r="AQ43" s="12"/>
      <c r="AR43" s="12"/>
      <c r="AS43" s="242"/>
      <c r="AT43" s="243"/>
      <c r="AU43" s="242"/>
      <c r="AV43" s="242"/>
      <c r="AW43" s="244"/>
      <c r="AX43" s="243"/>
      <c r="AY43" s="243"/>
      <c r="AZ43" s="242">
        <v>0</v>
      </c>
      <c r="BA43" s="242">
        <v>0</v>
      </c>
      <c r="BB43" s="242">
        <v>0</v>
      </c>
      <c r="BC43" s="242">
        <v>0</v>
      </c>
      <c r="BD43" s="242">
        <v>0</v>
      </c>
      <c r="BE43" s="242">
        <v>0</v>
      </c>
      <c r="BF43" s="242"/>
      <c r="BG43" s="242">
        <v>2</v>
      </c>
      <c r="BH43" s="242">
        <v>0</v>
      </c>
      <c r="BI43" s="242">
        <v>0</v>
      </c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>
        <v>0</v>
      </c>
      <c r="BX43" s="242">
        <v>643731.93000000005</v>
      </c>
      <c r="BY43" s="242">
        <v>0</v>
      </c>
      <c r="BZ43" s="242">
        <v>643731.93000000005</v>
      </c>
      <c r="CA43" s="242">
        <v>0</v>
      </c>
      <c r="CB43" s="243" t="s">
        <v>633</v>
      </c>
      <c r="CC43" s="248">
        <v>643731.93000000005</v>
      </c>
      <c r="CD43" s="248">
        <v>0</v>
      </c>
      <c r="CE43" s="248">
        <v>696901.06</v>
      </c>
      <c r="CF43" s="248">
        <v>0</v>
      </c>
    </row>
    <row r="44" spans="1:84" x14ac:dyDescent="0.25">
      <c r="A44" s="254" t="s">
        <v>710</v>
      </c>
      <c r="B44" s="255" t="s">
        <v>711</v>
      </c>
      <c r="C44" s="255" t="s">
        <v>636</v>
      </c>
      <c r="D44" s="233"/>
      <c r="E44" s="234">
        <v>824806.99</v>
      </c>
      <c r="F44" s="235">
        <v>824806.99</v>
      </c>
      <c r="G44" s="256"/>
      <c r="H44" s="257"/>
      <c r="I44" s="237"/>
      <c r="J44" s="238">
        <v>824806.99</v>
      </c>
      <c r="K44" s="239"/>
      <c r="L44" s="240"/>
      <c r="M44" s="8">
        <v>793895.93</v>
      </c>
      <c r="N44" s="241">
        <v>793895.93</v>
      </c>
      <c r="O44" s="71"/>
      <c r="P44" s="100"/>
      <c r="Q44" s="9"/>
      <c r="R44" s="9"/>
      <c r="S44" s="9"/>
      <c r="T44" s="258">
        <v>45657</v>
      </c>
      <c r="U44" s="10"/>
      <c r="V44" s="23"/>
      <c r="W44" s="11"/>
      <c r="X44" s="8">
        <v>793895.93</v>
      </c>
      <c r="Y44" s="9"/>
      <c r="Z44" s="9"/>
      <c r="AA44" s="9"/>
      <c r="AB44" s="10"/>
      <c r="AC44" s="24">
        <v>0</v>
      </c>
      <c r="AD44" s="11">
        <v>0</v>
      </c>
      <c r="AE44" s="8">
        <v>793895.93</v>
      </c>
      <c r="AF44" s="9"/>
      <c r="AG44" s="10"/>
      <c r="AH44" s="11"/>
      <c r="AI44" s="8">
        <v>0</v>
      </c>
      <c r="AJ44" s="9"/>
      <c r="AK44" s="10"/>
      <c r="AL44" s="25"/>
      <c r="AM44" s="25"/>
      <c r="AN44" s="25"/>
      <c r="AO44" s="10"/>
      <c r="AP44" s="12">
        <v>794784.42</v>
      </c>
      <c r="AQ44" s="12"/>
      <c r="AR44" s="12"/>
      <c r="AS44" s="242"/>
      <c r="AT44" s="243"/>
      <c r="AU44" s="242"/>
      <c r="AV44" s="242"/>
      <c r="AW44" s="244"/>
      <c r="AX44" s="243"/>
      <c r="AY44" s="243"/>
      <c r="AZ44" s="242">
        <v>0</v>
      </c>
      <c r="BA44" s="242">
        <v>0</v>
      </c>
      <c r="BB44" s="242">
        <v>0</v>
      </c>
      <c r="BC44" s="242">
        <v>0</v>
      </c>
      <c r="BD44" s="242">
        <v>0</v>
      </c>
      <c r="BE44" s="242">
        <v>0</v>
      </c>
      <c r="BF44" s="242"/>
      <c r="BG44" s="242">
        <v>2</v>
      </c>
      <c r="BH44" s="242">
        <v>0</v>
      </c>
      <c r="BI44" s="242">
        <v>0</v>
      </c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>
        <v>0</v>
      </c>
      <c r="BX44" s="242">
        <v>793895.93</v>
      </c>
      <c r="BY44" s="242">
        <v>0</v>
      </c>
      <c r="BZ44" s="242">
        <v>793895.93</v>
      </c>
      <c r="CA44" s="242">
        <v>0</v>
      </c>
      <c r="CB44" s="243" t="s">
        <v>633</v>
      </c>
      <c r="CC44" s="248">
        <v>793895.93</v>
      </c>
      <c r="CD44" s="248">
        <v>0</v>
      </c>
      <c r="CE44" s="248">
        <v>794784.42</v>
      </c>
      <c r="CF44" s="248">
        <v>0</v>
      </c>
    </row>
    <row r="45" spans="1:84" ht="30" x14ac:dyDescent="0.25">
      <c r="A45" s="254" t="s">
        <v>712</v>
      </c>
      <c r="B45" s="259" t="s">
        <v>713</v>
      </c>
      <c r="C45" s="255" t="s">
        <v>636</v>
      </c>
      <c r="D45" s="233"/>
      <c r="E45" s="234">
        <v>721368.9</v>
      </c>
      <c r="F45" s="235">
        <v>721368.9</v>
      </c>
      <c r="G45" s="256"/>
      <c r="H45" s="257"/>
      <c r="I45" s="237"/>
      <c r="J45" s="238">
        <v>721368.9</v>
      </c>
      <c r="K45" s="239"/>
      <c r="L45" s="240"/>
      <c r="M45" s="8">
        <v>603983.97</v>
      </c>
      <c r="N45" s="241">
        <v>604491.18999999994</v>
      </c>
      <c r="O45" s="71"/>
      <c r="P45" s="100"/>
      <c r="Q45" s="9"/>
      <c r="R45" s="9"/>
      <c r="S45" s="9"/>
      <c r="T45" s="258">
        <v>45747</v>
      </c>
      <c r="U45" s="10"/>
      <c r="V45" s="23"/>
      <c r="W45" s="11"/>
      <c r="X45" s="8">
        <v>604491.18999999994</v>
      </c>
      <c r="Y45" s="9"/>
      <c r="Z45" s="9"/>
      <c r="AA45" s="9"/>
      <c r="AB45" s="10"/>
      <c r="AC45" s="24">
        <v>0</v>
      </c>
      <c r="AD45" s="11">
        <v>0</v>
      </c>
      <c r="AE45" s="8">
        <v>604491.18999999994</v>
      </c>
      <c r="AF45" s="9"/>
      <c r="AG45" s="10"/>
      <c r="AH45" s="11"/>
      <c r="AI45" s="8">
        <v>0</v>
      </c>
      <c r="AJ45" s="9"/>
      <c r="AK45" s="10"/>
      <c r="AL45" s="25"/>
      <c r="AM45" s="25"/>
      <c r="AN45" s="25"/>
      <c r="AO45" s="10"/>
      <c r="AP45" s="12">
        <v>711368.9</v>
      </c>
      <c r="AQ45" s="12"/>
      <c r="AR45" s="12"/>
      <c r="AS45" s="242"/>
      <c r="AT45" s="243"/>
      <c r="AU45" s="242"/>
      <c r="AV45" s="242"/>
      <c r="AW45" s="244"/>
      <c r="AX45" s="243"/>
      <c r="AY45" s="243"/>
      <c r="AZ45" s="242">
        <v>0</v>
      </c>
      <c r="BA45" s="242">
        <v>0</v>
      </c>
      <c r="BB45" s="242">
        <v>0</v>
      </c>
      <c r="BC45" s="242">
        <v>0</v>
      </c>
      <c r="BD45" s="242">
        <v>0</v>
      </c>
      <c r="BE45" s="242">
        <v>0</v>
      </c>
      <c r="BF45" s="242"/>
      <c r="BG45" s="242">
        <v>2</v>
      </c>
      <c r="BH45" s="242">
        <v>0</v>
      </c>
      <c r="BI45" s="242">
        <v>0</v>
      </c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>
        <v>0</v>
      </c>
      <c r="BX45" s="242">
        <v>604491.18999999994</v>
      </c>
      <c r="BY45" s="242">
        <v>0</v>
      </c>
      <c r="BZ45" s="242">
        <v>604491.18999999994</v>
      </c>
      <c r="CA45" s="242">
        <v>0</v>
      </c>
      <c r="CB45" s="243" t="s">
        <v>633</v>
      </c>
      <c r="CC45" s="248">
        <v>604491.18999999994</v>
      </c>
      <c r="CD45" s="248">
        <v>0</v>
      </c>
      <c r="CE45" s="248">
        <v>711368.9</v>
      </c>
      <c r="CF45" s="248">
        <v>0</v>
      </c>
    </row>
    <row r="46" spans="1:84" x14ac:dyDescent="0.25">
      <c r="A46" s="254" t="s">
        <v>714</v>
      </c>
      <c r="B46" s="259" t="s">
        <v>715</v>
      </c>
      <c r="C46" s="255" t="s">
        <v>636</v>
      </c>
      <c r="D46" s="233"/>
      <c r="E46" s="234">
        <v>3263560.76</v>
      </c>
      <c r="F46" s="235">
        <v>3263560.76</v>
      </c>
      <c r="G46" s="256"/>
      <c r="H46" s="257"/>
      <c r="I46" s="237"/>
      <c r="J46" s="238">
        <v>3263560.76</v>
      </c>
      <c r="K46" s="239"/>
      <c r="L46" s="240"/>
      <c r="M46" s="8">
        <v>2665642.25</v>
      </c>
      <c r="N46" s="241">
        <v>2665642.25</v>
      </c>
      <c r="O46" s="239"/>
      <c r="P46" s="240"/>
      <c r="Q46" s="9"/>
      <c r="R46" s="9"/>
      <c r="S46" s="9"/>
      <c r="T46" s="258">
        <v>45657</v>
      </c>
      <c r="U46" s="10"/>
      <c r="V46" s="23"/>
      <c r="W46" s="11"/>
      <c r="X46" s="8">
        <v>2661940.63</v>
      </c>
      <c r="Y46" s="9"/>
      <c r="Z46" s="9"/>
      <c r="AA46" s="9"/>
      <c r="AB46" s="10"/>
      <c r="AC46" s="24">
        <v>0</v>
      </c>
      <c r="AD46" s="11">
        <v>0</v>
      </c>
      <c r="AE46" s="8">
        <v>2661940.63</v>
      </c>
      <c r="AF46" s="9"/>
      <c r="AG46" s="10"/>
      <c r="AH46" s="11"/>
      <c r="AI46" s="8">
        <v>0</v>
      </c>
      <c r="AJ46" s="9"/>
      <c r="AK46" s="10"/>
      <c r="AL46" s="25"/>
      <c r="AM46" s="25"/>
      <c r="AN46" s="25"/>
      <c r="AO46" s="10"/>
      <c r="AP46" s="12">
        <v>3263560.76</v>
      </c>
      <c r="AQ46" s="12"/>
      <c r="AR46" s="12"/>
      <c r="AS46" s="242"/>
      <c r="AT46" s="243"/>
      <c r="AU46" s="242"/>
      <c r="AV46" s="242"/>
      <c r="AW46" s="244"/>
      <c r="AX46" s="243"/>
      <c r="AY46" s="243"/>
      <c r="AZ46" s="242">
        <v>0</v>
      </c>
      <c r="BA46" s="242">
        <v>0</v>
      </c>
      <c r="BB46" s="242">
        <v>0</v>
      </c>
      <c r="BC46" s="242">
        <v>0</v>
      </c>
      <c r="BD46" s="242">
        <v>0</v>
      </c>
      <c r="BE46" s="242">
        <v>0</v>
      </c>
      <c r="BF46" s="242"/>
      <c r="BG46" s="242">
        <v>2</v>
      </c>
      <c r="BH46" s="242">
        <v>0</v>
      </c>
      <c r="BI46" s="242">
        <v>0</v>
      </c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>
        <v>0</v>
      </c>
      <c r="BX46" s="242">
        <v>2661940.63</v>
      </c>
      <c r="BY46" s="242">
        <v>0</v>
      </c>
      <c r="BZ46" s="242">
        <v>2661940.63</v>
      </c>
      <c r="CA46" s="242">
        <v>0</v>
      </c>
      <c r="CB46" s="243" t="s">
        <v>633</v>
      </c>
      <c r="CC46" s="248">
        <v>2661940.63</v>
      </c>
      <c r="CD46" s="248">
        <v>0</v>
      </c>
      <c r="CE46" s="248">
        <v>3263560.76</v>
      </c>
      <c r="CF46" s="248">
        <v>0</v>
      </c>
    </row>
    <row r="47" spans="1:84" x14ac:dyDescent="0.25">
      <c r="A47" s="254" t="s">
        <v>716</v>
      </c>
      <c r="B47" s="255" t="s">
        <v>717</v>
      </c>
      <c r="C47" s="255" t="s">
        <v>643</v>
      </c>
      <c r="D47" s="233"/>
      <c r="E47" s="234">
        <v>647803</v>
      </c>
      <c r="F47" s="235">
        <v>647803</v>
      </c>
      <c r="G47" s="256"/>
      <c r="H47" s="257"/>
      <c r="I47" s="237"/>
      <c r="J47" s="238">
        <v>647803</v>
      </c>
      <c r="K47" s="239"/>
      <c r="L47" s="240"/>
      <c r="M47" s="8">
        <v>564837.46</v>
      </c>
      <c r="N47" s="241">
        <v>564837.46</v>
      </c>
      <c r="O47" s="71"/>
      <c r="P47" s="100"/>
      <c r="Q47" s="9"/>
      <c r="R47" s="9"/>
      <c r="S47" s="9"/>
      <c r="T47" s="258">
        <v>45657</v>
      </c>
      <c r="U47" s="10"/>
      <c r="V47" s="23"/>
      <c r="W47" s="11"/>
      <c r="X47" s="8">
        <v>564837.46</v>
      </c>
      <c r="Y47" s="9"/>
      <c r="Z47" s="9"/>
      <c r="AA47" s="9"/>
      <c r="AB47" s="10"/>
      <c r="AC47" s="24">
        <v>0</v>
      </c>
      <c r="AD47" s="11">
        <v>0</v>
      </c>
      <c r="AE47" s="8">
        <v>564837.46</v>
      </c>
      <c r="AF47" s="9"/>
      <c r="AG47" s="10"/>
      <c r="AH47" s="11"/>
      <c r="AI47" s="8">
        <v>0</v>
      </c>
      <c r="AJ47" s="9"/>
      <c r="AK47" s="10"/>
      <c r="AL47" s="25"/>
      <c r="AM47" s="25"/>
      <c r="AN47" s="25"/>
      <c r="AO47" s="10"/>
      <c r="AP47" s="12">
        <v>647803</v>
      </c>
      <c r="AQ47" s="12"/>
      <c r="AR47" s="12"/>
      <c r="AS47" s="242"/>
      <c r="AT47" s="243"/>
      <c r="AU47" s="242"/>
      <c r="AV47" s="242"/>
      <c r="AW47" s="244"/>
      <c r="AX47" s="243"/>
      <c r="AY47" s="243"/>
      <c r="AZ47" s="242">
        <v>0</v>
      </c>
      <c r="BA47" s="242">
        <v>0</v>
      </c>
      <c r="BB47" s="242">
        <v>0</v>
      </c>
      <c r="BC47" s="242">
        <v>0</v>
      </c>
      <c r="BD47" s="242">
        <v>0</v>
      </c>
      <c r="BE47" s="242">
        <v>0</v>
      </c>
      <c r="BF47" s="242"/>
      <c r="BG47" s="242">
        <v>2</v>
      </c>
      <c r="BH47" s="242">
        <v>0</v>
      </c>
      <c r="BI47" s="242">
        <v>0</v>
      </c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>
        <v>0</v>
      </c>
      <c r="BX47" s="242">
        <v>564837.46</v>
      </c>
      <c r="BY47" s="242">
        <v>0</v>
      </c>
      <c r="BZ47" s="242">
        <v>564837.46</v>
      </c>
      <c r="CA47" s="242">
        <v>0</v>
      </c>
      <c r="CB47" s="243" t="s">
        <v>633</v>
      </c>
      <c r="CC47" s="248">
        <v>564837.46</v>
      </c>
      <c r="CD47" s="248">
        <v>0</v>
      </c>
      <c r="CE47" s="248">
        <v>647803</v>
      </c>
      <c r="CF47" s="248">
        <v>0</v>
      </c>
    </row>
    <row r="48" spans="1:84" x14ac:dyDescent="0.25">
      <c r="A48" s="254" t="s">
        <v>718</v>
      </c>
      <c r="B48" s="255" t="s">
        <v>719</v>
      </c>
      <c r="C48" s="255" t="s">
        <v>636</v>
      </c>
      <c r="D48" s="233"/>
      <c r="E48" s="234">
        <v>42602.55</v>
      </c>
      <c r="F48" s="235">
        <v>42602.55</v>
      </c>
      <c r="G48" s="256"/>
      <c r="H48" s="257"/>
      <c r="I48" s="237"/>
      <c r="J48" s="238">
        <v>42602.55</v>
      </c>
      <c r="K48" s="239"/>
      <c r="L48" s="240"/>
      <c r="M48" s="8">
        <v>10413.6</v>
      </c>
      <c r="N48" s="241">
        <v>10416.6</v>
      </c>
      <c r="O48" s="239"/>
      <c r="P48" s="240"/>
      <c r="Q48" s="9"/>
      <c r="R48" s="9"/>
      <c r="S48" s="9"/>
      <c r="T48" s="258">
        <v>45657</v>
      </c>
      <c r="U48" s="10"/>
      <c r="V48" s="23"/>
      <c r="W48" s="11"/>
      <c r="X48" s="8">
        <v>10416.6</v>
      </c>
      <c r="Y48" s="9"/>
      <c r="Z48" s="9"/>
      <c r="AA48" s="9"/>
      <c r="AB48" s="10"/>
      <c r="AC48" s="24">
        <v>0</v>
      </c>
      <c r="AD48" s="11">
        <v>0</v>
      </c>
      <c r="AE48" s="8">
        <v>10416.6</v>
      </c>
      <c r="AF48" s="9"/>
      <c r="AG48" s="10"/>
      <c r="AH48" s="11"/>
      <c r="AI48" s="8">
        <v>0</v>
      </c>
      <c r="AJ48" s="9"/>
      <c r="AK48" s="10"/>
      <c r="AL48" s="25"/>
      <c r="AM48" s="25"/>
      <c r="AN48" s="25"/>
      <c r="AO48" s="10"/>
      <c r="AP48" s="12">
        <v>38602.550000000003</v>
      </c>
      <c r="AQ48" s="12"/>
      <c r="AR48" s="12"/>
      <c r="AS48" s="242"/>
      <c r="AT48" s="243"/>
      <c r="AU48" s="242"/>
      <c r="AV48" s="242"/>
      <c r="AW48" s="244"/>
      <c r="AX48" s="243"/>
      <c r="AY48" s="243"/>
      <c r="AZ48" s="242">
        <v>0</v>
      </c>
      <c r="BA48" s="242">
        <v>0</v>
      </c>
      <c r="BB48" s="242">
        <v>0</v>
      </c>
      <c r="BC48" s="242">
        <v>0</v>
      </c>
      <c r="BD48" s="242">
        <v>0</v>
      </c>
      <c r="BE48" s="242">
        <v>0</v>
      </c>
      <c r="BF48" s="242"/>
      <c r="BG48" s="242">
        <v>2</v>
      </c>
      <c r="BH48" s="242">
        <v>0</v>
      </c>
      <c r="BI48" s="242">
        <v>0</v>
      </c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>
        <v>0</v>
      </c>
      <c r="BX48" s="242">
        <v>10416.6</v>
      </c>
      <c r="BY48" s="242">
        <v>0</v>
      </c>
      <c r="BZ48" s="242">
        <v>10416.6</v>
      </c>
      <c r="CA48" s="242">
        <v>0</v>
      </c>
      <c r="CB48" s="243" t="s">
        <v>633</v>
      </c>
      <c r="CC48" s="248">
        <v>10416.6</v>
      </c>
      <c r="CD48" s="248">
        <v>0</v>
      </c>
      <c r="CE48" s="248">
        <v>38602.550000000003</v>
      </c>
      <c r="CF48" s="248">
        <v>0</v>
      </c>
    </row>
    <row r="49" spans="1:84" x14ac:dyDescent="0.25">
      <c r="A49" s="254" t="s">
        <v>720</v>
      </c>
      <c r="B49" s="255" t="s">
        <v>721</v>
      </c>
      <c r="C49" s="255" t="s">
        <v>636</v>
      </c>
      <c r="D49" s="233"/>
      <c r="E49" s="234">
        <v>2355416.6</v>
      </c>
      <c r="F49" s="235">
        <v>2355416.6</v>
      </c>
      <c r="G49" s="256"/>
      <c r="H49" s="257"/>
      <c r="I49" s="237"/>
      <c r="J49" s="238">
        <v>2355416.6</v>
      </c>
      <c r="K49" s="239"/>
      <c r="L49" s="240"/>
      <c r="M49" s="8">
        <v>1862187.9</v>
      </c>
      <c r="N49" s="241">
        <v>1862187.9</v>
      </c>
      <c r="O49" s="71"/>
      <c r="P49" s="100"/>
      <c r="Q49" s="9"/>
      <c r="R49" s="9"/>
      <c r="S49" s="9"/>
      <c r="T49" s="258">
        <v>45657</v>
      </c>
      <c r="U49" s="10"/>
      <c r="V49" s="23"/>
      <c r="W49" s="11"/>
      <c r="X49" s="8">
        <v>1859766.22</v>
      </c>
      <c r="Y49" s="9"/>
      <c r="Z49" s="9"/>
      <c r="AA49" s="9"/>
      <c r="AB49" s="10"/>
      <c r="AC49" s="24">
        <v>0</v>
      </c>
      <c r="AD49" s="11">
        <v>0</v>
      </c>
      <c r="AE49" s="8">
        <v>1859766.22</v>
      </c>
      <c r="AF49" s="9"/>
      <c r="AG49" s="10"/>
      <c r="AH49" s="11"/>
      <c r="AI49" s="8">
        <v>0</v>
      </c>
      <c r="AJ49" s="9"/>
      <c r="AK49" s="10"/>
      <c r="AL49" s="25"/>
      <c r="AM49" s="25"/>
      <c r="AN49" s="25"/>
      <c r="AO49" s="10"/>
      <c r="AP49" s="12">
        <v>2341026.2999999998</v>
      </c>
      <c r="AQ49" s="12"/>
      <c r="AR49" s="12"/>
      <c r="AS49" s="242"/>
      <c r="AT49" s="243"/>
      <c r="AU49" s="242"/>
      <c r="AV49" s="242"/>
      <c r="AW49" s="244"/>
      <c r="AX49" s="243"/>
      <c r="AY49" s="243"/>
      <c r="AZ49" s="242">
        <v>0</v>
      </c>
      <c r="BA49" s="242">
        <v>0</v>
      </c>
      <c r="BB49" s="242">
        <v>0</v>
      </c>
      <c r="BC49" s="242">
        <v>0</v>
      </c>
      <c r="BD49" s="242">
        <v>0</v>
      </c>
      <c r="BE49" s="242">
        <v>0</v>
      </c>
      <c r="BF49" s="242"/>
      <c r="BG49" s="242">
        <v>2</v>
      </c>
      <c r="BH49" s="242">
        <v>0</v>
      </c>
      <c r="BI49" s="242">
        <v>0</v>
      </c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>
        <v>0</v>
      </c>
      <c r="BX49" s="242">
        <v>1859766.22</v>
      </c>
      <c r="BY49" s="242">
        <v>0</v>
      </c>
      <c r="BZ49" s="242">
        <v>1859766.22</v>
      </c>
      <c r="CA49" s="242">
        <v>0</v>
      </c>
      <c r="CB49" s="243" t="s">
        <v>633</v>
      </c>
      <c r="CC49" s="248">
        <v>1859766.22</v>
      </c>
      <c r="CD49" s="248">
        <v>0</v>
      </c>
      <c r="CE49" s="248">
        <v>2341026.2999999998</v>
      </c>
      <c r="CF49" s="248">
        <v>0</v>
      </c>
    </row>
    <row r="50" spans="1:84" x14ac:dyDescent="0.25">
      <c r="A50" s="254" t="s">
        <v>722</v>
      </c>
      <c r="B50" s="255" t="s">
        <v>723</v>
      </c>
      <c r="C50" s="255" t="s">
        <v>636</v>
      </c>
      <c r="D50" s="233"/>
      <c r="E50" s="234">
        <v>147329.95000000001</v>
      </c>
      <c r="F50" s="235">
        <v>147329.95000000001</v>
      </c>
      <c r="G50" s="256"/>
      <c r="H50" s="257"/>
      <c r="I50" s="237"/>
      <c r="J50" s="238">
        <v>147329.95000000001</v>
      </c>
      <c r="K50" s="239"/>
      <c r="L50" s="240"/>
      <c r="M50" s="8">
        <v>124688.79</v>
      </c>
      <c r="N50" s="241">
        <v>124688.79</v>
      </c>
      <c r="O50" s="71"/>
      <c r="P50" s="100"/>
      <c r="Q50" s="9"/>
      <c r="R50" s="9"/>
      <c r="S50" s="9"/>
      <c r="T50" s="258"/>
      <c r="U50" s="10"/>
      <c r="V50" s="23"/>
      <c r="W50" s="11"/>
      <c r="X50" s="8">
        <v>124688.79</v>
      </c>
      <c r="Y50" s="9"/>
      <c r="Z50" s="9"/>
      <c r="AA50" s="9"/>
      <c r="AB50" s="10"/>
      <c r="AC50" s="24">
        <v>0</v>
      </c>
      <c r="AD50" s="11">
        <v>0</v>
      </c>
      <c r="AE50" s="8">
        <v>124688.79</v>
      </c>
      <c r="AF50" s="9"/>
      <c r="AG50" s="10"/>
      <c r="AH50" s="11"/>
      <c r="AI50" s="8">
        <v>0</v>
      </c>
      <c r="AJ50" s="9"/>
      <c r="AK50" s="10"/>
      <c r="AL50" s="25"/>
      <c r="AM50" s="25"/>
      <c r="AN50" s="25"/>
      <c r="AO50" s="10"/>
      <c r="AP50" s="12">
        <v>147329.95000000001</v>
      </c>
      <c r="AQ50" s="12"/>
      <c r="AR50" s="12"/>
      <c r="AS50" s="242"/>
      <c r="AT50" s="243"/>
      <c r="AU50" s="242"/>
      <c r="AV50" s="242"/>
      <c r="AW50" s="244"/>
      <c r="AX50" s="243"/>
      <c r="AY50" s="243"/>
      <c r="AZ50" s="242">
        <v>0</v>
      </c>
      <c r="BA50" s="242">
        <v>0</v>
      </c>
      <c r="BB50" s="242">
        <v>0</v>
      </c>
      <c r="BC50" s="242">
        <v>0</v>
      </c>
      <c r="BD50" s="242">
        <v>0</v>
      </c>
      <c r="BE50" s="242">
        <v>0</v>
      </c>
      <c r="BF50" s="242"/>
      <c r="BG50" s="242">
        <v>2</v>
      </c>
      <c r="BH50" s="242">
        <v>0</v>
      </c>
      <c r="BI50" s="242">
        <v>0</v>
      </c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>
        <v>0</v>
      </c>
      <c r="BX50" s="242">
        <v>124688.79</v>
      </c>
      <c r="BY50" s="242">
        <v>0</v>
      </c>
      <c r="BZ50" s="242">
        <v>124688.79</v>
      </c>
      <c r="CA50" s="242">
        <v>0</v>
      </c>
      <c r="CB50" s="243" t="s">
        <v>633</v>
      </c>
      <c r="CC50" s="248">
        <v>124688.79</v>
      </c>
      <c r="CD50" s="248">
        <v>0</v>
      </c>
      <c r="CE50" s="248">
        <v>147329.95000000001</v>
      </c>
      <c r="CF50" s="248">
        <v>0</v>
      </c>
    </row>
    <row r="51" spans="1:84" x14ac:dyDescent="0.25">
      <c r="A51" s="254" t="s">
        <v>724</v>
      </c>
      <c r="B51" s="255" t="s">
        <v>725</v>
      </c>
      <c r="C51" s="255" t="s">
        <v>646</v>
      </c>
      <c r="D51" s="233"/>
      <c r="E51" s="234">
        <v>1361329.36</v>
      </c>
      <c r="F51" s="235">
        <v>1361329.36</v>
      </c>
      <c r="G51" s="256"/>
      <c r="H51" s="257"/>
      <c r="I51" s="237"/>
      <c r="J51" s="238">
        <v>1361329.36</v>
      </c>
      <c r="K51" s="239"/>
      <c r="L51" s="240"/>
      <c r="M51" s="8">
        <v>1173903.3400000001</v>
      </c>
      <c r="N51" s="241">
        <v>1173903.3400000001</v>
      </c>
      <c r="O51" s="71"/>
      <c r="P51" s="100"/>
      <c r="Q51" s="9"/>
      <c r="R51" s="9"/>
      <c r="S51" s="9"/>
      <c r="T51" s="258">
        <v>45657</v>
      </c>
      <c r="U51" s="10"/>
      <c r="V51" s="23"/>
      <c r="W51" s="11"/>
      <c r="X51" s="8">
        <v>1173736.4099999999</v>
      </c>
      <c r="Y51" s="9"/>
      <c r="Z51" s="9"/>
      <c r="AA51" s="9"/>
      <c r="AB51" s="10"/>
      <c r="AC51" s="24">
        <v>0</v>
      </c>
      <c r="AD51" s="11">
        <v>0</v>
      </c>
      <c r="AE51" s="8">
        <v>1173736.4099999999</v>
      </c>
      <c r="AF51" s="9"/>
      <c r="AG51" s="10"/>
      <c r="AH51" s="11"/>
      <c r="AI51" s="8">
        <v>0</v>
      </c>
      <c r="AJ51" s="9"/>
      <c r="AK51" s="10"/>
      <c r="AL51" s="25"/>
      <c r="AM51" s="25"/>
      <c r="AN51" s="25"/>
      <c r="AO51" s="10"/>
      <c r="AP51" s="12">
        <v>1340781.48</v>
      </c>
      <c r="AQ51" s="12"/>
      <c r="AR51" s="12"/>
      <c r="AS51" s="242"/>
      <c r="AT51" s="243"/>
      <c r="AU51" s="242"/>
      <c r="AV51" s="242"/>
      <c r="AW51" s="244"/>
      <c r="AX51" s="243"/>
      <c r="AY51" s="243"/>
      <c r="AZ51" s="242">
        <v>0</v>
      </c>
      <c r="BA51" s="242">
        <v>0</v>
      </c>
      <c r="BB51" s="242">
        <v>0</v>
      </c>
      <c r="BC51" s="242">
        <v>0</v>
      </c>
      <c r="BD51" s="242">
        <v>0</v>
      </c>
      <c r="BE51" s="242">
        <v>0</v>
      </c>
      <c r="BF51" s="242"/>
      <c r="BG51" s="242">
        <v>2</v>
      </c>
      <c r="BH51" s="242">
        <v>0</v>
      </c>
      <c r="BI51" s="242">
        <v>0</v>
      </c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>
        <v>0</v>
      </c>
      <c r="BX51" s="242">
        <v>1173736.4099999999</v>
      </c>
      <c r="BY51" s="242">
        <v>0</v>
      </c>
      <c r="BZ51" s="242">
        <v>1173736.4099999999</v>
      </c>
      <c r="CA51" s="242">
        <v>0</v>
      </c>
      <c r="CB51" s="243" t="s">
        <v>633</v>
      </c>
      <c r="CC51" s="248">
        <v>1173736.4099999999</v>
      </c>
      <c r="CD51" s="248">
        <v>0</v>
      </c>
      <c r="CE51" s="248">
        <v>1340781.48</v>
      </c>
      <c r="CF51" s="248">
        <v>0</v>
      </c>
    </row>
    <row r="52" spans="1:84" x14ac:dyDescent="0.25">
      <c r="A52" s="254" t="s">
        <v>726</v>
      </c>
      <c r="B52" s="255" t="s">
        <v>727</v>
      </c>
      <c r="C52" s="255" t="s">
        <v>646</v>
      </c>
      <c r="D52" s="233"/>
      <c r="E52" s="234">
        <v>2317227.7599999998</v>
      </c>
      <c r="F52" s="235">
        <v>2317227.7599999998</v>
      </c>
      <c r="G52" s="256"/>
      <c r="H52" s="257"/>
      <c r="I52" s="237"/>
      <c r="J52" s="238">
        <v>2317227.7599999998</v>
      </c>
      <c r="K52" s="239"/>
      <c r="L52" s="240"/>
      <c r="M52" s="8">
        <v>2184535.23</v>
      </c>
      <c r="N52" s="241">
        <v>2184535.23</v>
      </c>
      <c r="O52" s="71"/>
      <c r="P52" s="100"/>
      <c r="Q52" s="9"/>
      <c r="R52" s="9"/>
      <c r="S52" s="9"/>
      <c r="T52" s="258">
        <v>45688</v>
      </c>
      <c r="U52" s="10"/>
      <c r="V52" s="23"/>
      <c r="W52" s="11"/>
      <c r="X52" s="8">
        <v>2184535.23</v>
      </c>
      <c r="Y52" s="9"/>
      <c r="Z52" s="9"/>
      <c r="AA52" s="9"/>
      <c r="AB52" s="10"/>
      <c r="AC52" s="24">
        <v>0</v>
      </c>
      <c r="AD52" s="11">
        <v>0</v>
      </c>
      <c r="AE52" s="8">
        <v>2184535.23</v>
      </c>
      <c r="AF52" s="9"/>
      <c r="AG52" s="10"/>
      <c r="AH52" s="11"/>
      <c r="AI52" s="8">
        <v>0</v>
      </c>
      <c r="AJ52" s="9"/>
      <c r="AK52" s="10"/>
      <c r="AL52" s="25"/>
      <c r="AM52" s="25"/>
      <c r="AN52" s="25"/>
      <c r="AO52" s="10"/>
      <c r="AP52" s="12">
        <v>2250414.96</v>
      </c>
      <c r="AQ52" s="12"/>
      <c r="AR52" s="12"/>
      <c r="AS52" s="242"/>
      <c r="AT52" s="243"/>
      <c r="AU52" s="242"/>
      <c r="AV52" s="242"/>
      <c r="AW52" s="244"/>
      <c r="AX52" s="243"/>
      <c r="AY52" s="243"/>
      <c r="AZ52" s="242">
        <v>0</v>
      </c>
      <c r="BA52" s="242">
        <v>0</v>
      </c>
      <c r="BB52" s="242">
        <v>0</v>
      </c>
      <c r="BC52" s="242">
        <v>0</v>
      </c>
      <c r="BD52" s="242">
        <v>0</v>
      </c>
      <c r="BE52" s="242">
        <v>0</v>
      </c>
      <c r="BF52" s="242"/>
      <c r="BG52" s="242">
        <v>2</v>
      </c>
      <c r="BH52" s="242">
        <v>0</v>
      </c>
      <c r="BI52" s="242">
        <v>0</v>
      </c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>
        <v>0</v>
      </c>
      <c r="BX52" s="242">
        <v>2184535.23</v>
      </c>
      <c r="BY52" s="242">
        <v>0</v>
      </c>
      <c r="BZ52" s="242">
        <v>2184535.23</v>
      </c>
      <c r="CA52" s="242">
        <v>0</v>
      </c>
      <c r="CB52" s="243" t="s">
        <v>633</v>
      </c>
      <c r="CC52" s="248">
        <v>2184535.23</v>
      </c>
      <c r="CD52" s="248">
        <v>0</v>
      </c>
      <c r="CE52" s="248">
        <v>2250414.96</v>
      </c>
      <c r="CF52" s="248">
        <v>0</v>
      </c>
    </row>
    <row r="53" spans="1:84" x14ac:dyDescent="0.25">
      <c r="A53" s="254" t="s">
        <v>728</v>
      </c>
      <c r="B53" s="255" t="s">
        <v>729</v>
      </c>
      <c r="C53" s="255" t="s">
        <v>652</v>
      </c>
      <c r="D53" s="233"/>
      <c r="E53" s="234">
        <v>5167920.57</v>
      </c>
      <c r="F53" s="235">
        <v>5167920.57</v>
      </c>
      <c r="G53" s="256"/>
      <c r="H53" s="257"/>
      <c r="I53" s="237"/>
      <c r="J53" s="238">
        <v>5192801.8</v>
      </c>
      <c r="K53" s="239"/>
      <c r="L53" s="240"/>
      <c r="M53" s="8">
        <v>4330665.79</v>
      </c>
      <c r="N53" s="241">
        <v>4329532.79</v>
      </c>
      <c r="O53" s="71"/>
      <c r="P53" s="100"/>
      <c r="Q53" s="9"/>
      <c r="R53" s="9"/>
      <c r="S53" s="9"/>
      <c r="T53" s="258">
        <v>45838</v>
      </c>
      <c r="U53" s="10"/>
      <c r="V53" s="23"/>
      <c r="W53" s="11"/>
      <c r="X53" s="8">
        <v>4329532.79</v>
      </c>
      <c r="Y53" s="9"/>
      <c r="Z53" s="9"/>
      <c r="AA53" s="9"/>
      <c r="AB53" s="10"/>
      <c r="AC53" s="24">
        <v>0</v>
      </c>
      <c r="AD53" s="11">
        <v>0</v>
      </c>
      <c r="AE53" s="8">
        <v>4329683.18</v>
      </c>
      <c r="AF53" s="9"/>
      <c r="AG53" s="10"/>
      <c r="AH53" s="11"/>
      <c r="AI53" s="8">
        <v>-150.38999999999999</v>
      </c>
      <c r="AJ53" s="9"/>
      <c r="AK53" s="10"/>
      <c r="AL53" s="25"/>
      <c r="AM53" s="25"/>
      <c r="AN53" s="25"/>
      <c r="AO53" s="10"/>
      <c r="AP53" s="12">
        <v>5192801.8</v>
      </c>
      <c r="AQ53" s="12"/>
      <c r="AR53" s="12"/>
      <c r="AS53" s="242"/>
      <c r="AT53" s="243"/>
      <c r="AU53" s="242"/>
      <c r="AV53" s="242"/>
      <c r="AW53" s="244"/>
      <c r="AX53" s="243" t="s">
        <v>630</v>
      </c>
      <c r="AY53" s="243" t="s">
        <v>630</v>
      </c>
      <c r="AZ53" s="15">
        <v>5192801.8</v>
      </c>
      <c r="BA53" s="15">
        <v>4329532.79</v>
      </c>
      <c r="BB53" s="15">
        <v>5192801.8</v>
      </c>
      <c r="BC53" s="15">
        <v>4329532.79</v>
      </c>
      <c r="BD53" s="242">
        <v>0</v>
      </c>
      <c r="BE53" s="242">
        <v>0</v>
      </c>
      <c r="BF53" s="242"/>
      <c r="BG53" s="242">
        <v>2</v>
      </c>
      <c r="BH53" s="242">
        <v>0</v>
      </c>
      <c r="BI53" s="242">
        <v>0</v>
      </c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 t="s">
        <v>634</v>
      </c>
      <c r="BW53" s="242">
        <v>0</v>
      </c>
      <c r="BX53" s="242">
        <v>4329683.18</v>
      </c>
      <c r="BY53" s="242">
        <v>0</v>
      </c>
      <c r="BZ53" s="242">
        <v>4329683.18</v>
      </c>
      <c r="CA53" s="242">
        <v>0</v>
      </c>
      <c r="CB53" s="243" t="s">
        <v>633</v>
      </c>
      <c r="CC53" s="248">
        <v>4329532.79</v>
      </c>
      <c r="CD53" s="248">
        <v>-150.38999999999999</v>
      </c>
      <c r="CE53" s="248">
        <v>5192801.8</v>
      </c>
      <c r="CF53" s="248">
        <v>0</v>
      </c>
    </row>
    <row r="54" spans="1:84" x14ac:dyDescent="0.25">
      <c r="A54" s="254" t="s">
        <v>730</v>
      </c>
      <c r="B54" s="255" t="s">
        <v>731</v>
      </c>
      <c r="C54" s="255" t="s">
        <v>643</v>
      </c>
      <c r="D54" s="233"/>
      <c r="E54" s="234">
        <v>700013.94</v>
      </c>
      <c r="F54" s="235">
        <v>700013.94</v>
      </c>
      <c r="G54" s="256"/>
      <c r="H54" s="257"/>
      <c r="I54" s="237"/>
      <c r="J54" s="238">
        <v>700013.94</v>
      </c>
      <c r="K54" s="239"/>
      <c r="L54" s="240"/>
      <c r="M54" s="8">
        <v>542146.44999999995</v>
      </c>
      <c r="N54" s="241">
        <v>542146.44999999995</v>
      </c>
      <c r="O54" s="71"/>
      <c r="P54" s="100"/>
      <c r="Q54" s="9"/>
      <c r="R54" s="9"/>
      <c r="S54" s="9"/>
      <c r="T54" s="258">
        <v>45961</v>
      </c>
      <c r="U54" s="10"/>
      <c r="V54" s="23"/>
      <c r="W54" s="11"/>
      <c r="X54" s="8">
        <v>542146.44999999995</v>
      </c>
      <c r="Y54" s="9"/>
      <c r="Z54" s="9"/>
      <c r="AA54" s="9"/>
      <c r="AB54" s="10"/>
      <c r="AC54" s="24">
        <v>0</v>
      </c>
      <c r="AD54" s="11">
        <v>0</v>
      </c>
      <c r="AE54" s="8">
        <v>484415.72</v>
      </c>
      <c r="AF54" s="9"/>
      <c r="AG54" s="10"/>
      <c r="AH54" s="11"/>
      <c r="AI54" s="8">
        <v>57730.73</v>
      </c>
      <c r="AJ54" s="9"/>
      <c r="AK54" s="10"/>
      <c r="AL54" s="25"/>
      <c r="AM54" s="25"/>
      <c r="AN54" s="25"/>
      <c r="AO54" s="10"/>
      <c r="AP54" s="12">
        <v>700013.94</v>
      </c>
      <c r="AQ54" s="12"/>
      <c r="AR54" s="12"/>
      <c r="AS54" s="242"/>
      <c r="AT54" s="243"/>
      <c r="AU54" s="242"/>
      <c r="AV54" s="242"/>
      <c r="AW54" s="244"/>
      <c r="AX54" s="243" t="s">
        <v>630</v>
      </c>
      <c r="AY54" s="243" t="s">
        <v>630</v>
      </c>
      <c r="AZ54" s="15">
        <v>700013.94</v>
      </c>
      <c r="BA54" s="15">
        <v>542146.44999999995</v>
      </c>
      <c r="BB54" s="15">
        <v>700013.94</v>
      </c>
      <c r="BC54" s="15">
        <v>542146.44999999995</v>
      </c>
      <c r="BD54" s="242">
        <v>0</v>
      </c>
      <c r="BE54" s="242">
        <v>0</v>
      </c>
      <c r="BF54" s="242"/>
      <c r="BG54" s="242">
        <v>2</v>
      </c>
      <c r="BH54" s="242">
        <v>0</v>
      </c>
      <c r="BI54" s="242">
        <v>0</v>
      </c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 t="s">
        <v>634</v>
      </c>
      <c r="BW54" s="242">
        <v>0</v>
      </c>
      <c r="BX54" s="242">
        <v>484415.72</v>
      </c>
      <c r="BY54" s="242">
        <v>0</v>
      </c>
      <c r="BZ54" s="242">
        <v>484415.72</v>
      </c>
      <c r="CA54" s="242">
        <v>0</v>
      </c>
      <c r="CB54" s="243" t="s">
        <v>633</v>
      </c>
      <c r="CC54" s="248">
        <v>542146.44999999995</v>
      </c>
      <c r="CD54" s="248">
        <v>57730.73</v>
      </c>
      <c r="CE54" s="248">
        <v>700013.94</v>
      </c>
      <c r="CF54" s="248">
        <v>0</v>
      </c>
    </row>
    <row r="55" spans="1:84" x14ac:dyDescent="0.25">
      <c r="A55" s="254" t="s">
        <v>732</v>
      </c>
      <c r="B55" s="255" t="s">
        <v>733</v>
      </c>
      <c r="C55" s="255" t="s">
        <v>643</v>
      </c>
      <c r="D55" s="233"/>
      <c r="E55" s="234">
        <v>2447355.2200000002</v>
      </c>
      <c r="F55" s="235">
        <v>2447355.2200000002</v>
      </c>
      <c r="G55" s="256"/>
      <c r="H55" s="257"/>
      <c r="I55" s="237"/>
      <c r="J55" s="238">
        <v>2447355.2200000002</v>
      </c>
      <c r="K55" s="239"/>
      <c r="L55" s="240"/>
      <c r="M55" s="8">
        <v>1995712.27</v>
      </c>
      <c r="N55" s="241">
        <v>1995712.27</v>
      </c>
      <c r="O55" s="71"/>
      <c r="P55" s="100"/>
      <c r="Q55" s="9"/>
      <c r="R55" s="9"/>
      <c r="S55" s="9"/>
      <c r="T55" s="258">
        <v>45807</v>
      </c>
      <c r="U55" s="10"/>
      <c r="V55" s="23"/>
      <c r="W55" s="11"/>
      <c r="X55" s="8">
        <v>1995655.12</v>
      </c>
      <c r="Y55" s="9"/>
      <c r="Z55" s="9"/>
      <c r="AA55" s="9"/>
      <c r="AB55" s="10"/>
      <c r="AC55" s="24">
        <v>0</v>
      </c>
      <c r="AD55" s="11">
        <v>0</v>
      </c>
      <c r="AE55" s="8">
        <v>1995655.12</v>
      </c>
      <c r="AF55" s="9"/>
      <c r="AG55" s="10"/>
      <c r="AH55" s="11"/>
      <c r="AI55" s="8">
        <v>0</v>
      </c>
      <c r="AJ55" s="9"/>
      <c r="AK55" s="10"/>
      <c r="AL55" s="25"/>
      <c r="AM55" s="25"/>
      <c r="AN55" s="25"/>
      <c r="AO55" s="10"/>
      <c r="AP55" s="12">
        <v>2447355.2200000002</v>
      </c>
      <c r="AQ55" s="12"/>
      <c r="AR55" s="12"/>
      <c r="AS55" s="242"/>
      <c r="AT55" s="243"/>
      <c r="AU55" s="242"/>
      <c r="AV55" s="242"/>
      <c r="AW55" s="244"/>
      <c r="AX55" s="243"/>
      <c r="AY55" s="243"/>
      <c r="AZ55" s="242">
        <v>0</v>
      </c>
      <c r="BA55" s="242">
        <v>0</v>
      </c>
      <c r="BB55" s="242">
        <v>0</v>
      </c>
      <c r="BC55" s="242">
        <v>0</v>
      </c>
      <c r="BD55" s="242">
        <v>0</v>
      </c>
      <c r="BE55" s="242">
        <v>0</v>
      </c>
      <c r="BF55" s="242"/>
      <c r="BG55" s="242">
        <v>2</v>
      </c>
      <c r="BH55" s="242">
        <v>0</v>
      </c>
      <c r="BI55" s="242">
        <v>0</v>
      </c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>
        <v>0</v>
      </c>
      <c r="BX55" s="242">
        <v>1995655.12</v>
      </c>
      <c r="BY55" s="242">
        <v>0</v>
      </c>
      <c r="BZ55" s="242">
        <v>1995655.12</v>
      </c>
      <c r="CA55" s="242">
        <v>0</v>
      </c>
      <c r="CB55" s="243" t="s">
        <v>633</v>
      </c>
      <c r="CC55" s="248">
        <v>1995655.12</v>
      </c>
      <c r="CD55" s="248">
        <v>0</v>
      </c>
      <c r="CE55" s="248">
        <v>2447355.2200000002</v>
      </c>
      <c r="CF55" s="248">
        <v>0</v>
      </c>
    </row>
    <row r="56" spans="1:84" x14ac:dyDescent="0.25">
      <c r="A56" s="254" t="s">
        <v>734</v>
      </c>
      <c r="B56" s="255" t="s">
        <v>735</v>
      </c>
      <c r="C56" s="255" t="s">
        <v>652</v>
      </c>
      <c r="D56" s="233"/>
      <c r="E56" s="234">
        <v>1603209.73</v>
      </c>
      <c r="F56" s="235">
        <v>1603209.73</v>
      </c>
      <c r="G56" s="256"/>
      <c r="H56" s="257"/>
      <c r="I56" s="237"/>
      <c r="J56" s="238">
        <v>1603209.73</v>
      </c>
      <c r="K56" s="239"/>
      <c r="L56" s="240"/>
      <c r="M56" s="8">
        <v>1431097.56</v>
      </c>
      <c r="N56" s="241">
        <v>1431097.44</v>
      </c>
      <c r="O56" s="71"/>
      <c r="P56" s="100"/>
      <c r="Q56" s="9"/>
      <c r="R56" s="9"/>
      <c r="S56" s="9"/>
      <c r="T56" s="258">
        <v>45838</v>
      </c>
      <c r="U56" s="10"/>
      <c r="V56" s="23"/>
      <c r="W56" s="11"/>
      <c r="X56" s="8">
        <v>1431097.44</v>
      </c>
      <c r="Y56" s="9"/>
      <c r="Z56" s="9"/>
      <c r="AA56" s="9"/>
      <c r="AB56" s="10"/>
      <c r="AC56" s="24">
        <v>0</v>
      </c>
      <c r="AD56" s="11">
        <v>0</v>
      </c>
      <c r="AE56" s="8">
        <v>962891.28</v>
      </c>
      <c r="AF56" s="9"/>
      <c r="AG56" s="10"/>
      <c r="AH56" s="11"/>
      <c r="AI56" s="8">
        <v>468206.16</v>
      </c>
      <c r="AJ56" s="9"/>
      <c r="AK56" s="10"/>
      <c r="AL56" s="25"/>
      <c r="AM56" s="25"/>
      <c r="AN56" s="25"/>
      <c r="AO56" s="10"/>
      <c r="AP56" s="12">
        <v>1603209.73</v>
      </c>
      <c r="AQ56" s="12"/>
      <c r="AR56" s="12"/>
      <c r="AS56" s="242"/>
      <c r="AT56" s="243"/>
      <c r="AU56" s="242"/>
      <c r="AV56" s="242"/>
      <c r="AW56" s="244"/>
      <c r="AX56" s="243" t="s">
        <v>630</v>
      </c>
      <c r="AY56" s="243" t="s">
        <v>630</v>
      </c>
      <c r="AZ56" s="15">
        <v>1603209.73</v>
      </c>
      <c r="BA56" s="15">
        <v>1431097.44</v>
      </c>
      <c r="BB56" s="15">
        <v>1603209.73</v>
      </c>
      <c r="BC56" s="15">
        <v>1431097.44</v>
      </c>
      <c r="BD56" s="242">
        <v>0</v>
      </c>
      <c r="BE56" s="242">
        <v>0</v>
      </c>
      <c r="BF56" s="242"/>
      <c r="BG56" s="242">
        <v>2</v>
      </c>
      <c r="BH56" s="242">
        <v>0</v>
      </c>
      <c r="BI56" s="242">
        <v>0</v>
      </c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 t="s">
        <v>634</v>
      </c>
      <c r="BW56" s="242">
        <v>0</v>
      </c>
      <c r="BX56" s="242">
        <v>962891.28</v>
      </c>
      <c r="BY56" s="242">
        <v>0</v>
      </c>
      <c r="BZ56" s="242">
        <v>962891.28</v>
      </c>
      <c r="CA56" s="242">
        <v>0</v>
      </c>
      <c r="CB56" s="243" t="s">
        <v>633</v>
      </c>
      <c r="CC56" s="248">
        <v>1431097.44</v>
      </c>
      <c r="CD56" s="248">
        <v>468206.16</v>
      </c>
      <c r="CE56" s="248">
        <v>1603209.73</v>
      </c>
      <c r="CF56" s="248">
        <v>0</v>
      </c>
    </row>
    <row r="57" spans="1:84" x14ac:dyDescent="0.25">
      <c r="A57" s="254" t="s">
        <v>736</v>
      </c>
      <c r="B57" s="255" t="s">
        <v>737</v>
      </c>
      <c r="C57" s="255" t="s">
        <v>643</v>
      </c>
      <c r="D57" s="233"/>
      <c r="E57" s="234">
        <v>1833811.42</v>
      </c>
      <c r="F57" s="235">
        <v>1823811.42</v>
      </c>
      <c r="G57" s="256"/>
      <c r="H57" s="257"/>
      <c r="I57" s="237"/>
      <c r="J57" s="238">
        <v>1815311.42</v>
      </c>
      <c r="K57" s="239"/>
      <c r="L57" s="240"/>
      <c r="M57" s="8">
        <v>1559760.09</v>
      </c>
      <c r="N57" s="241">
        <v>1559759.89</v>
      </c>
      <c r="O57" s="71"/>
      <c r="P57" s="100"/>
      <c r="Q57" s="9"/>
      <c r="R57" s="9"/>
      <c r="S57" s="9"/>
      <c r="T57" s="258">
        <v>45838</v>
      </c>
      <c r="U57" s="10"/>
      <c r="V57" s="23"/>
      <c r="W57" s="11"/>
      <c r="X57" s="8">
        <v>1559759.89</v>
      </c>
      <c r="Y57" s="9"/>
      <c r="Z57" s="9"/>
      <c r="AA57" s="9"/>
      <c r="AB57" s="10"/>
      <c r="AC57" s="24">
        <v>0</v>
      </c>
      <c r="AD57" s="11">
        <v>0</v>
      </c>
      <c r="AE57" s="8">
        <v>1446998.18</v>
      </c>
      <c r="AF57" s="9"/>
      <c r="AG57" s="10"/>
      <c r="AH57" s="11"/>
      <c r="AI57" s="8">
        <v>112761.71</v>
      </c>
      <c r="AJ57" s="9"/>
      <c r="AK57" s="10"/>
      <c r="AL57" s="25"/>
      <c r="AM57" s="25"/>
      <c r="AN57" s="25"/>
      <c r="AO57" s="10"/>
      <c r="AP57" s="12">
        <v>1815311.42</v>
      </c>
      <c r="AQ57" s="12"/>
      <c r="AR57" s="12"/>
      <c r="AS57" s="242"/>
      <c r="AT57" s="243"/>
      <c r="AU57" s="242"/>
      <c r="AV57" s="242"/>
      <c r="AW57" s="244"/>
      <c r="AX57" s="243" t="s">
        <v>630</v>
      </c>
      <c r="AY57" s="243" t="s">
        <v>630</v>
      </c>
      <c r="AZ57" s="15">
        <v>1815311.42</v>
      </c>
      <c r="BA57" s="15">
        <v>1559759.89</v>
      </c>
      <c r="BB57" s="15">
        <v>1815311.42</v>
      </c>
      <c r="BC57" s="15">
        <v>1559759.89</v>
      </c>
      <c r="BD57" s="242">
        <v>0</v>
      </c>
      <c r="BE57" s="242">
        <v>0</v>
      </c>
      <c r="BF57" s="242"/>
      <c r="BG57" s="242">
        <v>2</v>
      </c>
      <c r="BH57" s="242">
        <v>0</v>
      </c>
      <c r="BI57" s="242">
        <v>0</v>
      </c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 t="s">
        <v>634</v>
      </c>
      <c r="BW57" s="242">
        <v>0</v>
      </c>
      <c r="BX57" s="242">
        <v>1446998.18</v>
      </c>
      <c r="BY57" s="242">
        <v>0</v>
      </c>
      <c r="BZ57" s="242">
        <v>1446998.18</v>
      </c>
      <c r="CA57" s="242">
        <v>0</v>
      </c>
      <c r="CB57" s="243" t="s">
        <v>633</v>
      </c>
      <c r="CC57" s="248">
        <v>1559759.89</v>
      </c>
      <c r="CD57" s="248">
        <v>112761.71</v>
      </c>
      <c r="CE57" s="248">
        <v>1815311.42</v>
      </c>
      <c r="CF57" s="248">
        <v>0</v>
      </c>
    </row>
    <row r="58" spans="1:84" x14ac:dyDescent="0.25">
      <c r="A58" s="254" t="s">
        <v>738</v>
      </c>
      <c r="B58" s="255" t="s">
        <v>739</v>
      </c>
      <c r="C58" s="255" t="s">
        <v>643</v>
      </c>
      <c r="D58" s="233"/>
      <c r="E58" s="234">
        <v>1095780</v>
      </c>
      <c r="F58" s="235">
        <v>1095780</v>
      </c>
      <c r="G58" s="256"/>
      <c r="H58" s="257"/>
      <c r="I58" s="237"/>
      <c r="J58" s="238">
        <v>1095780</v>
      </c>
      <c r="K58" s="239"/>
      <c r="L58" s="240"/>
      <c r="M58" s="8">
        <v>787770.15</v>
      </c>
      <c r="N58" s="241">
        <v>787770.15</v>
      </c>
      <c r="O58" s="71"/>
      <c r="P58" s="100"/>
      <c r="Q58" s="9"/>
      <c r="R58" s="9"/>
      <c r="S58" s="9"/>
      <c r="T58" s="258">
        <v>45688</v>
      </c>
      <c r="U58" s="10"/>
      <c r="V58" s="23"/>
      <c r="W58" s="11"/>
      <c r="X58" s="8">
        <v>787770.15</v>
      </c>
      <c r="Y58" s="9"/>
      <c r="Z58" s="9"/>
      <c r="AA58" s="9"/>
      <c r="AB58" s="10"/>
      <c r="AC58" s="24">
        <v>0</v>
      </c>
      <c r="AD58" s="11">
        <v>0</v>
      </c>
      <c r="AE58" s="8">
        <v>787770.15</v>
      </c>
      <c r="AF58" s="9"/>
      <c r="AG58" s="10"/>
      <c r="AH58" s="11"/>
      <c r="AI58" s="8">
        <v>0</v>
      </c>
      <c r="AJ58" s="9"/>
      <c r="AK58" s="10"/>
      <c r="AL58" s="25"/>
      <c r="AM58" s="25"/>
      <c r="AN58" s="25"/>
      <c r="AO58" s="10"/>
      <c r="AP58" s="12">
        <v>1052840.06</v>
      </c>
      <c r="AQ58" s="12"/>
      <c r="AR58" s="12"/>
      <c r="AS58" s="242"/>
      <c r="AT58" s="243"/>
      <c r="AU58" s="242"/>
      <c r="AV58" s="242"/>
      <c r="AW58" s="244"/>
      <c r="AX58" s="243"/>
      <c r="AY58" s="243"/>
      <c r="AZ58" s="242">
        <v>0</v>
      </c>
      <c r="BA58" s="242">
        <v>0</v>
      </c>
      <c r="BB58" s="242">
        <v>0</v>
      </c>
      <c r="BC58" s="242">
        <v>0</v>
      </c>
      <c r="BD58" s="242">
        <v>0</v>
      </c>
      <c r="BE58" s="242">
        <v>0</v>
      </c>
      <c r="BF58" s="242"/>
      <c r="BG58" s="242">
        <v>2</v>
      </c>
      <c r="BH58" s="242">
        <v>0</v>
      </c>
      <c r="BI58" s="242">
        <v>0</v>
      </c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>
        <v>0</v>
      </c>
      <c r="BX58" s="242">
        <v>787770.15</v>
      </c>
      <c r="BY58" s="242">
        <v>0</v>
      </c>
      <c r="BZ58" s="242">
        <v>787770.15</v>
      </c>
      <c r="CA58" s="242">
        <v>0</v>
      </c>
      <c r="CB58" s="243" t="s">
        <v>633</v>
      </c>
      <c r="CC58" s="248">
        <v>787770.15</v>
      </c>
      <c r="CD58" s="248">
        <v>0</v>
      </c>
      <c r="CE58" s="248">
        <v>1052840.06</v>
      </c>
      <c r="CF58" s="248">
        <v>0</v>
      </c>
    </row>
    <row r="59" spans="1:84" x14ac:dyDescent="0.25">
      <c r="A59" s="254" t="s">
        <v>740</v>
      </c>
      <c r="B59" s="255" t="s">
        <v>741</v>
      </c>
      <c r="C59" s="255" t="s">
        <v>652</v>
      </c>
      <c r="D59" s="233"/>
      <c r="E59" s="234">
        <v>218864</v>
      </c>
      <c r="F59" s="235">
        <v>218864</v>
      </c>
      <c r="G59" s="256"/>
      <c r="H59" s="257"/>
      <c r="I59" s="237"/>
      <c r="J59" s="238">
        <v>218864.46</v>
      </c>
      <c r="K59" s="239"/>
      <c r="L59" s="240"/>
      <c r="M59" s="8">
        <v>148033.29999999999</v>
      </c>
      <c r="N59" s="241">
        <v>148033.12</v>
      </c>
      <c r="O59" s="71"/>
      <c r="P59" s="100"/>
      <c r="Q59" s="9"/>
      <c r="R59" s="9"/>
      <c r="S59" s="9"/>
      <c r="T59" s="258">
        <v>45838</v>
      </c>
      <c r="U59" s="10"/>
      <c r="V59" s="23"/>
      <c r="W59" s="11"/>
      <c r="X59" s="8">
        <v>148033.12</v>
      </c>
      <c r="Y59" s="9"/>
      <c r="Z59" s="9"/>
      <c r="AA59" s="9"/>
      <c r="AB59" s="10"/>
      <c r="AC59" s="24">
        <v>0</v>
      </c>
      <c r="AD59" s="11">
        <v>0</v>
      </c>
      <c r="AE59" s="8">
        <v>76295.460000000006</v>
      </c>
      <c r="AF59" s="9"/>
      <c r="AG59" s="10"/>
      <c r="AH59" s="11"/>
      <c r="AI59" s="8">
        <v>71737.66</v>
      </c>
      <c r="AJ59" s="9"/>
      <c r="AK59" s="10"/>
      <c r="AL59" s="25"/>
      <c r="AM59" s="25"/>
      <c r="AN59" s="25"/>
      <c r="AO59" s="10"/>
      <c r="AP59" s="12">
        <v>218864.46</v>
      </c>
      <c r="AQ59" s="12"/>
      <c r="AR59" s="12"/>
      <c r="AS59" s="242"/>
      <c r="AT59" s="243"/>
      <c r="AU59" s="242"/>
      <c r="AV59" s="242"/>
      <c r="AW59" s="244"/>
      <c r="AX59" s="243" t="s">
        <v>630</v>
      </c>
      <c r="AY59" s="243" t="s">
        <v>630</v>
      </c>
      <c r="AZ59" s="15">
        <v>218864.46</v>
      </c>
      <c r="BA59" s="15">
        <v>148033.12</v>
      </c>
      <c r="BB59" s="15">
        <v>218864.46</v>
      </c>
      <c r="BC59" s="15">
        <v>148033.12</v>
      </c>
      <c r="BD59" s="242">
        <v>0</v>
      </c>
      <c r="BE59" s="242">
        <v>0</v>
      </c>
      <c r="BF59" s="242"/>
      <c r="BG59" s="242">
        <v>2</v>
      </c>
      <c r="BH59" s="242">
        <v>0</v>
      </c>
      <c r="BI59" s="242">
        <v>0</v>
      </c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 t="s">
        <v>634</v>
      </c>
      <c r="BW59" s="242">
        <v>0</v>
      </c>
      <c r="BX59" s="242">
        <v>76295.460000000006</v>
      </c>
      <c r="BY59" s="242">
        <v>0</v>
      </c>
      <c r="BZ59" s="242">
        <v>76295.460000000006</v>
      </c>
      <c r="CA59" s="242">
        <v>0</v>
      </c>
      <c r="CB59" s="243" t="s">
        <v>633</v>
      </c>
      <c r="CC59" s="248">
        <v>148033.12</v>
      </c>
      <c r="CD59" s="248">
        <v>71737.66</v>
      </c>
      <c r="CE59" s="248">
        <v>218864.46</v>
      </c>
      <c r="CF59" s="248">
        <v>0</v>
      </c>
    </row>
    <row r="60" spans="1:84" x14ac:dyDescent="0.25">
      <c r="A60" s="254" t="s">
        <v>742</v>
      </c>
      <c r="B60" s="255" t="s">
        <v>743</v>
      </c>
      <c r="C60" s="255" t="s">
        <v>649</v>
      </c>
      <c r="D60" s="233"/>
      <c r="E60" s="234">
        <v>5295547.2699999996</v>
      </c>
      <c r="F60" s="235">
        <v>5256236.75</v>
      </c>
      <c r="G60" s="256"/>
      <c r="H60" s="257"/>
      <c r="I60" s="237"/>
      <c r="J60" s="238">
        <v>5256236.75</v>
      </c>
      <c r="K60" s="239"/>
      <c r="L60" s="240"/>
      <c r="M60" s="8">
        <v>3701057.02</v>
      </c>
      <c r="N60" s="241">
        <v>3710503.27</v>
      </c>
      <c r="O60" s="71"/>
      <c r="P60" s="100"/>
      <c r="Q60" s="9"/>
      <c r="R60" s="9"/>
      <c r="S60" s="9"/>
      <c r="T60" s="258">
        <v>45838</v>
      </c>
      <c r="U60" s="10"/>
      <c r="V60" s="23"/>
      <c r="W60" s="11"/>
      <c r="X60" s="8">
        <v>3710503.27</v>
      </c>
      <c r="Y60" s="9"/>
      <c r="Z60" s="9"/>
      <c r="AA60" s="9"/>
      <c r="AB60" s="10"/>
      <c r="AC60" s="24">
        <v>0</v>
      </c>
      <c r="AD60" s="11">
        <v>0</v>
      </c>
      <c r="AE60" s="8">
        <v>2596067.0299999998</v>
      </c>
      <c r="AF60" s="9"/>
      <c r="AG60" s="10"/>
      <c r="AH60" s="11"/>
      <c r="AI60" s="8">
        <v>1114436.24</v>
      </c>
      <c r="AJ60" s="9"/>
      <c r="AK60" s="10"/>
      <c r="AL60" s="25"/>
      <c r="AM60" s="25"/>
      <c r="AN60" s="25"/>
      <c r="AO60" s="10"/>
      <c r="AP60" s="12">
        <v>5256236.75</v>
      </c>
      <c r="AQ60" s="12"/>
      <c r="AR60" s="12"/>
      <c r="AS60" s="242"/>
      <c r="AT60" s="243"/>
      <c r="AU60" s="242"/>
      <c r="AV60" s="242"/>
      <c r="AW60" s="244"/>
      <c r="AX60" s="243" t="s">
        <v>630</v>
      </c>
      <c r="AY60" s="243" t="s">
        <v>630</v>
      </c>
      <c r="AZ60" s="15">
        <v>5256236.75</v>
      </c>
      <c r="BA60" s="15">
        <v>3710503.27</v>
      </c>
      <c r="BB60" s="15">
        <v>5256236.75</v>
      </c>
      <c r="BC60" s="15">
        <v>3710503.27</v>
      </c>
      <c r="BD60" s="242">
        <v>0</v>
      </c>
      <c r="BE60" s="242">
        <v>0</v>
      </c>
      <c r="BF60" s="242"/>
      <c r="BG60" s="242">
        <v>2</v>
      </c>
      <c r="BH60" s="242">
        <v>0</v>
      </c>
      <c r="BI60" s="242">
        <v>0</v>
      </c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 t="s">
        <v>634</v>
      </c>
      <c r="BW60" s="242">
        <v>0</v>
      </c>
      <c r="BX60" s="242">
        <v>2596067.0299999998</v>
      </c>
      <c r="BY60" s="242">
        <v>0</v>
      </c>
      <c r="BZ60" s="242">
        <v>2596067.0299999998</v>
      </c>
      <c r="CA60" s="242">
        <v>0</v>
      </c>
      <c r="CB60" s="243" t="s">
        <v>633</v>
      </c>
      <c r="CC60" s="248">
        <v>3710503.27</v>
      </c>
      <c r="CD60" s="248">
        <v>1114436.24</v>
      </c>
      <c r="CE60" s="248">
        <v>5256236.75</v>
      </c>
      <c r="CF60" s="248">
        <v>0</v>
      </c>
    </row>
    <row r="61" spans="1:84" x14ac:dyDescent="0.25">
      <c r="A61" s="254" t="s">
        <v>744</v>
      </c>
      <c r="B61" s="255" t="s">
        <v>745</v>
      </c>
      <c r="C61" s="255" t="s">
        <v>646</v>
      </c>
      <c r="D61" s="233"/>
      <c r="E61" s="234">
        <v>313331.7</v>
      </c>
      <c r="F61" s="235">
        <v>313331.7</v>
      </c>
      <c r="G61" s="256"/>
      <c r="H61" s="257"/>
      <c r="I61" s="237"/>
      <c r="J61" s="238">
        <v>313331.7</v>
      </c>
      <c r="K61" s="239"/>
      <c r="L61" s="240"/>
      <c r="M61" s="8">
        <v>169436.47</v>
      </c>
      <c r="N61" s="241">
        <v>169436.47</v>
      </c>
      <c r="O61" s="71"/>
      <c r="P61" s="100"/>
      <c r="Q61" s="9"/>
      <c r="R61" s="9"/>
      <c r="S61" s="9"/>
      <c r="T61" s="258">
        <v>45688</v>
      </c>
      <c r="U61" s="10"/>
      <c r="V61" s="23"/>
      <c r="W61" s="11"/>
      <c r="X61" s="8">
        <v>169436.47</v>
      </c>
      <c r="Y61" s="9"/>
      <c r="Z61" s="9"/>
      <c r="AA61" s="9"/>
      <c r="AB61" s="10"/>
      <c r="AC61" s="24">
        <v>0</v>
      </c>
      <c r="AD61" s="11">
        <v>0</v>
      </c>
      <c r="AE61" s="8">
        <v>169436.47</v>
      </c>
      <c r="AF61" s="9"/>
      <c r="AG61" s="10"/>
      <c r="AH61" s="11"/>
      <c r="AI61" s="8">
        <v>0</v>
      </c>
      <c r="AJ61" s="9"/>
      <c r="AK61" s="10"/>
      <c r="AL61" s="25"/>
      <c r="AM61" s="25"/>
      <c r="AN61" s="25"/>
      <c r="AO61" s="10"/>
      <c r="AP61" s="12">
        <v>259615.85</v>
      </c>
      <c r="AQ61" s="12"/>
      <c r="AR61" s="12"/>
      <c r="AS61" s="242"/>
      <c r="AT61" s="243"/>
      <c r="AU61" s="242"/>
      <c r="AV61" s="242"/>
      <c r="AW61" s="244"/>
      <c r="AX61" s="243"/>
      <c r="AY61" s="243"/>
      <c r="AZ61" s="242">
        <v>0</v>
      </c>
      <c r="BA61" s="242">
        <v>0</v>
      </c>
      <c r="BB61" s="242">
        <v>0</v>
      </c>
      <c r="BC61" s="242">
        <v>0</v>
      </c>
      <c r="BD61" s="242">
        <v>0</v>
      </c>
      <c r="BE61" s="242">
        <v>0</v>
      </c>
      <c r="BF61" s="242"/>
      <c r="BG61" s="242">
        <v>2</v>
      </c>
      <c r="BH61" s="242">
        <v>0</v>
      </c>
      <c r="BI61" s="242">
        <v>0</v>
      </c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>
        <v>0</v>
      </c>
      <c r="BX61" s="242">
        <v>169436.47</v>
      </c>
      <c r="BY61" s="242">
        <v>0</v>
      </c>
      <c r="BZ61" s="242">
        <v>169436.47</v>
      </c>
      <c r="CA61" s="242">
        <v>0</v>
      </c>
      <c r="CB61" s="243" t="s">
        <v>633</v>
      </c>
      <c r="CC61" s="248">
        <v>169436.47</v>
      </c>
      <c r="CD61" s="248">
        <v>0</v>
      </c>
      <c r="CE61" s="248">
        <v>259615.85</v>
      </c>
      <c r="CF61" s="248">
        <v>0</v>
      </c>
    </row>
    <row r="62" spans="1:84" x14ac:dyDescent="0.25">
      <c r="A62" s="254" t="s">
        <v>746</v>
      </c>
      <c r="B62" s="255" t="s">
        <v>747</v>
      </c>
      <c r="C62" s="255" t="s">
        <v>643</v>
      </c>
      <c r="D62" s="233"/>
      <c r="E62" s="234">
        <v>2011865.5</v>
      </c>
      <c r="F62" s="235">
        <v>2001595.3</v>
      </c>
      <c r="G62" s="256"/>
      <c r="H62" s="257"/>
      <c r="I62" s="237"/>
      <c r="J62" s="238">
        <v>2001595.3</v>
      </c>
      <c r="K62" s="239"/>
      <c r="L62" s="240"/>
      <c r="M62" s="8">
        <v>1677799.91</v>
      </c>
      <c r="N62" s="241">
        <v>1662799.91</v>
      </c>
      <c r="O62" s="71"/>
      <c r="P62" s="100"/>
      <c r="Q62" s="9"/>
      <c r="R62" s="9"/>
      <c r="S62" s="9"/>
      <c r="T62" s="258">
        <v>45838</v>
      </c>
      <c r="U62" s="10"/>
      <c r="V62" s="23"/>
      <c r="W62" s="11"/>
      <c r="X62" s="8">
        <v>1662799.91</v>
      </c>
      <c r="Y62" s="9"/>
      <c r="Z62" s="9"/>
      <c r="AA62" s="9"/>
      <c r="AB62" s="10"/>
      <c r="AC62" s="24">
        <v>0</v>
      </c>
      <c r="AD62" s="11">
        <v>0</v>
      </c>
      <c r="AE62" s="8">
        <v>567384.02</v>
      </c>
      <c r="AF62" s="9"/>
      <c r="AG62" s="10"/>
      <c r="AH62" s="11"/>
      <c r="AI62" s="8">
        <v>1095415.8899999999</v>
      </c>
      <c r="AJ62" s="9"/>
      <c r="AK62" s="10"/>
      <c r="AL62" s="25"/>
      <c r="AM62" s="25"/>
      <c r="AN62" s="25"/>
      <c r="AO62" s="10"/>
      <c r="AP62" s="12">
        <v>2001595.3</v>
      </c>
      <c r="AQ62" s="12"/>
      <c r="AR62" s="12"/>
      <c r="AS62" s="242"/>
      <c r="AT62" s="243"/>
      <c r="AU62" s="242"/>
      <c r="AV62" s="242"/>
      <c r="AW62" s="244"/>
      <c r="AX62" s="243" t="s">
        <v>630</v>
      </c>
      <c r="AY62" s="243" t="s">
        <v>630</v>
      </c>
      <c r="AZ62" s="15">
        <v>2001595.3</v>
      </c>
      <c r="BA62" s="15">
        <v>1662799.91</v>
      </c>
      <c r="BB62" s="15">
        <v>2001595.3</v>
      </c>
      <c r="BC62" s="15">
        <v>1662799.91</v>
      </c>
      <c r="BD62" s="242">
        <v>0</v>
      </c>
      <c r="BE62" s="242">
        <v>0</v>
      </c>
      <c r="BF62" s="242"/>
      <c r="BG62" s="242">
        <v>2</v>
      </c>
      <c r="BH62" s="242">
        <v>0</v>
      </c>
      <c r="BI62" s="242">
        <v>0</v>
      </c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 t="s">
        <v>634</v>
      </c>
      <c r="BW62" s="242">
        <v>0</v>
      </c>
      <c r="BX62" s="242">
        <v>567384.02</v>
      </c>
      <c r="BY62" s="242">
        <v>0</v>
      </c>
      <c r="BZ62" s="242">
        <v>567384.02</v>
      </c>
      <c r="CA62" s="242">
        <v>0</v>
      </c>
      <c r="CB62" s="243" t="s">
        <v>633</v>
      </c>
      <c r="CC62" s="248">
        <v>1662799.91</v>
      </c>
      <c r="CD62" s="248">
        <v>1095415.8899999999</v>
      </c>
      <c r="CE62" s="248">
        <v>2001595.3</v>
      </c>
      <c r="CF62" s="248">
        <v>0</v>
      </c>
    </row>
    <row r="63" spans="1:84" x14ac:dyDescent="0.25">
      <c r="A63" s="254" t="s">
        <v>748</v>
      </c>
      <c r="B63" s="255" t="s">
        <v>749</v>
      </c>
      <c r="C63" s="255" t="s">
        <v>636</v>
      </c>
      <c r="D63" s="233"/>
      <c r="E63" s="234">
        <v>54108.18</v>
      </c>
      <c r="F63" s="235">
        <v>54108.18</v>
      </c>
      <c r="G63" s="256"/>
      <c r="H63" s="257"/>
      <c r="I63" s="237"/>
      <c r="J63" s="238">
        <v>54108.18</v>
      </c>
      <c r="K63" s="239"/>
      <c r="L63" s="240"/>
      <c r="M63" s="8">
        <v>43673.23</v>
      </c>
      <c r="N63" s="241">
        <v>43673.23</v>
      </c>
      <c r="O63" s="71"/>
      <c r="P63" s="100"/>
      <c r="Q63" s="9"/>
      <c r="R63" s="9"/>
      <c r="S63" s="9"/>
      <c r="T63" s="258">
        <v>45657</v>
      </c>
      <c r="U63" s="10"/>
      <c r="V63" s="23"/>
      <c r="W63" s="11"/>
      <c r="X63" s="8">
        <v>42749.52</v>
      </c>
      <c r="Y63" s="9"/>
      <c r="Z63" s="9"/>
      <c r="AA63" s="9"/>
      <c r="AB63" s="10"/>
      <c r="AC63" s="24">
        <v>0</v>
      </c>
      <c r="AD63" s="11">
        <v>0</v>
      </c>
      <c r="AE63" s="8">
        <v>42749.52</v>
      </c>
      <c r="AF63" s="9"/>
      <c r="AG63" s="10"/>
      <c r="AH63" s="11"/>
      <c r="AI63" s="8">
        <v>0</v>
      </c>
      <c r="AJ63" s="9"/>
      <c r="AK63" s="10"/>
      <c r="AL63" s="25"/>
      <c r="AM63" s="25"/>
      <c r="AN63" s="25"/>
      <c r="AO63" s="10"/>
      <c r="AP63" s="12">
        <v>54108.18</v>
      </c>
      <c r="AQ63" s="12"/>
      <c r="AR63" s="12"/>
      <c r="AS63" s="242"/>
      <c r="AT63" s="243"/>
      <c r="AU63" s="242"/>
      <c r="AV63" s="242"/>
      <c r="AW63" s="244"/>
      <c r="AX63" s="243"/>
      <c r="AY63" s="243"/>
      <c r="AZ63" s="242">
        <v>0</v>
      </c>
      <c r="BA63" s="242">
        <v>0</v>
      </c>
      <c r="BB63" s="242">
        <v>0</v>
      </c>
      <c r="BC63" s="242">
        <v>0</v>
      </c>
      <c r="BD63" s="242">
        <v>0</v>
      </c>
      <c r="BE63" s="242">
        <v>0</v>
      </c>
      <c r="BF63" s="242"/>
      <c r="BG63" s="242">
        <v>2</v>
      </c>
      <c r="BH63" s="242">
        <v>0</v>
      </c>
      <c r="BI63" s="242">
        <v>0</v>
      </c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>
        <v>0</v>
      </c>
      <c r="BX63" s="242">
        <v>42749.52</v>
      </c>
      <c r="BY63" s="242">
        <v>0</v>
      </c>
      <c r="BZ63" s="242">
        <v>42749.52</v>
      </c>
      <c r="CA63" s="242">
        <v>0</v>
      </c>
      <c r="CB63" s="243" t="s">
        <v>633</v>
      </c>
      <c r="CC63" s="248">
        <v>42749.52</v>
      </c>
      <c r="CD63" s="248">
        <v>0</v>
      </c>
      <c r="CE63" s="248">
        <v>54108.18</v>
      </c>
      <c r="CF63" s="248">
        <v>0</v>
      </c>
    </row>
    <row r="64" spans="1:84" x14ac:dyDescent="0.25">
      <c r="A64" s="254" t="s">
        <v>750</v>
      </c>
      <c r="B64" s="255" t="s">
        <v>751</v>
      </c>
      <c r="C64" s="255" t="s">
        <v>636</v>
      </c>
      <c r="D64" s="233"/>
      <c r="E64" s="234">
        <v>94020</v>
      </c>
      <c r="F64" s="235">
        <v>94020</v>
      </c>
      <c r="G64" s="256"/>
      <c r="H64" s="257"/>
      <c r="I64" s="237"/>
      <c r="J64" s="238">
        <v>94020</v>
      </c>
      <c r="K64" s="239"/>
      <c r="L64" s="240"/>
      <c r="M64" s="8">
        <v>0</v>
      </c>
      <c r="N64" s="241">
        <v>0</v>
      </c>
      <c r="O64" s="71"/>
      <c r="P64" s="100"/>
      <c r="Q64" s="9"/>
      <c r="R64" s="9"/>
      <c r="S64" s="9"/>
      <c r="T64" s="258">
        <v>45961</v>
      </c>
      <c r="U64" s="10"/>
      <c r="V64" s="23"/>
      <c r="W64" s="11"/>
      <c r="X64" s="8">
        <v>0</v>
      </c>
      <c r="Y64" s="9"/>
      <c r="Z64" s="9"/>
      <c r="AA64" s="9"/>
      <c r="AB64" s="10"/>
      <c r="AC64" s="24">
        <v>0</v>
      </c>
      <c r="AD64" s="11">
        <v>0</v>
      </c>
      <c r="AE64" s="8">
        <v>0</v>
      </c>
      <c r="AF64" s="9"/>
      <c r="AG64" s="10"/>
      <c r="AH64" s="11"/>
      <c r="AI64" s="8">
        <v>0</v>
      </c>
      <c r="AJ64" s="9"/>
      <c r="AK64" s="10"/>
      <c r="AL64" s="25"/>
      <c r="AM64" s="25"/>
      <c r="AN64" s="25"/>
      <c r="AO64" s="10"/>
      <c r="AP64" s="12">
        <v>0</v>
      </c>
      <c r="AQ64" s="12"/>
      <c r="AR64" s="12"/>
      <c r="AS64" s="242"/>
      <c r="AT64" s="243"/>
      <c r="AU64" s="242"/>
      <c r="AV64" s="242"/>
      <c r="AW64" s="244"/>
      <c r="AX64" s="243"/>
      <c r="AY64" s="243"/>
      <c r="AZ64" s="242">
        <v>0</v>
      </c>
      <c r="BA64" s="242">
        <v>0</v>
      </c>
      <c r="BB64" s="242">
        <v>0</v>
      </c>
      <c r="BC64" s="242">
        <v>0</v>
      </c>
      <c r="BD64" s="242">
        <v>0</v>
      </c>
      <c r="BE64" s="242">
        <v>0</v>
      </c>
      <c r="BF64" s="242"/>
      <c r="BG64" s="242">
        <v>2</v>
      </c>
      <c r="BH64" s="242">
        <v>0</v>
      </c>
      <c r="BI64" s="242">
        <v>0</v>
      </c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>
        <v>0</v>
      </c>
      <c r="BX64" s="242">
        <v>0</v>
      </c>
      <c r="BY64" s="242">
        <v>0</v>
      </c>
      <c r="BZ64" s="242">
        <v>0</v>
      </c>
      <c r="CA64" s="242">
        <v>0</v>
      </c>
      <c r="CB64" s="243" t="s">
        <v>633</v>
      </c>
      <c r="CC64" s="248">
        <v>0</v>
      </c>
      <c r="CD64" s="248">
        <v>0</v>
      </c>
      <c r="CE64" s="248">
        <v>0</v>
      </c>
      <c r="CF64" s="248">
        <v>0</v>
      </c>
    </row>
    <row r="65" spans="1:84" x14ac:dyDescent="0.25">
      <c r="A65" s="254" t="s">
        <v>752</v>
      </c>
      <c r="B65" s="255" t="s">
        <v>753</v>
      </c>
      <c r="C65" s="255" t="s">
        <v>643</v>
      </c>
      <c r="D65" s="233"/>
      <c r="E65" s="234">
        <v>594797.51</v>
      </c>
      <c r="F65" s="235">
        <v>744312.72</v>
      </c>
      <c r="G65" s="256"/>
      <c r="H65" s="257"/>
      <c r="I65" s="237"/>
      <c r="J65" s="238">
        <v>734312.72</v>
      </c>
      <c r="K65" s="239"/>
      <c r="L65" s="240"/>
      <c r="M65" s="8">
        <v>456380.57</v>
      </c>
      <c r="N65" s="241">
        <v>454068.72</v>
      </c>
      <c r="O65" s="239"/>
      <c r="P65" s="240"/>
      <c r="Q65" s="9"/>
      <c r="R65" s="9"/>
      <c r="S65" s="9"/>
      <c r="T65" s="258">
        <v>45777</v>
      </c>
      <c r="U65" s="10"/>
      <c r="V65" s="23"/>
      <c r="W65" s="11"/>
      <c r="X65" s="8">
        <v>454068.72</v>
      </c>
      <c r="Y65" s="9"/>
      <c r="Z65" s="9"/>
      <c r="AA65" s="9"/>
      <c r="AB65" s="10"/>
      <c r="AC65" s="24">
        <v>0</v>
      </c>
      <c r="AD65" s="11">
        <v>0</v>
      </c>
      <c r="AE65" s="8">
        <v>338741.14</v>
      </c>
      <c r="AF65" s="9"/>
      <c r="AG65" s="10"/>
      <c r="AH65" s="11"/>
      <c r="AI65" s="8">
        <v>115327.58</v>
      </c>
      <c r="AJ65" s="9"/>
      <c r="AK65" s="10"/>
      <c r="AL65" s="25"/>
      <c r="AM65" s="25"/>
      <c r="AN65" s="25"/>
      <c r="AO65" s="10"/>
      <c r="AP65" s="12">
        <v>734312.72</v>
      </c>
      <c r="AQ65" s="12"/>
      <c r="AR65" s="12"/>
      <c r="AS65" s="242"/>
      <c r="AT65" s="243"/>
      <c r="AU65" s="242"/>
      <c r="AV65" s="242"/>
      <c r="AW65" s="244"/>
      <c r="AX65" s="243" t="s">
        <v>630</v>
      </c>
      <c r="AY65" s="243" t="s">
        <v>630</v>
      </c>
      <c r="AZ65" s="15">
        <v>734312.72</v>
      </c>
      <c r="BA65" s="15">
        <v>454068.72</v>
      </c>
      <c r="BB65" s="15">
        <v>734312.72</v>
      </c>
      <c r="BC65" s="15">
        <v>454068.72</v>
      </c>
      <c r="BD65" s="242">
        <v>0</v>
      </c>
      <c r="BE65" s="242">
        <v>0</v>
      </c>
      <c r="BF65" s="242"/>
      <c r="BG65" s="242">
        <v>2</v>
      </c>
      <c r="BH65" s="242">
        <v>0</v>
      </c>
      <c r="BI65" s="242">
        <v>0</v>
      </c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 t="s">
        <v>634</v>
      </c>
      <c r="BW65" s="242">
        <v>0</v>
      </c>
      <c r="BX65" s="242">
        <v>338741.14</v>
      </c>
      <c r="BY65" s="242">
        <v>0</v>
      </c>
      <c r="BZ65" s="242">
        <v>338741.14</v>
      </c>
      <c r="CA65" s="242">
        <v>0</v>
      </c>
      <c r="CB65" s="243" t="s">
        <v>633</v>
      </c>
      <c r="CC65" s="248">
        <v>454068.72</v>
      </c>
      <c r="CD65" s="248">
        <v>115327.58</v>
      </c>
      <c r="CE65" s="248">
        <v>734312.72</v>
      </c>
      <c r="CF65" s="248">
        <v>0</v>
      </c>
    </row>
    <row r="66" spans="1:84" x14ac:dyDescent="0.25">
      <c r="A66" s="254" t="s">
        <v>754</v>
      </c>
      <c r="B66" s="255" t="s">
        <v>755</v>
      </c>
      <c r="C66" s="255" t="s">
        <v>646</v>
      </c>
      <c r="D66" s="233"/>
      <c r="E66" s="234">
        <v>178520</v>
      </c>
      <c r="F66" s="235">
        <v>178520</v>
      </c>
      <c r="G66" s="256"/>
      <c r="H66" s="257"/>
      <c r="I66" s="237"/>
      <c r="J66" s="238">
        <v>178520</v>
      </c>
      <c r="K66" s="239"/>
      <c r="L66" s="240"/>
      <c r="M66" s="8">
        <v>128093.26</v>
      </c>
      <c r="N66" s="241">
        <v>128093.26</v>
      </c>
      <c r="O66" s="71"/>
      <c r="P66" s="100"/>
      <c r="Q66" s="9"/>
      <c r="R66" s="9"/>
      <c r="S66" s="9"/>
      <c r="T66" s="258">
        <v>45838</v>
      </c>
      <c r="U66" s="10"/>
      <c r="V66" s="23"/>
      <c r="W66" s="11"/>
      <c r="X66" s="8">
        <v>128093.26</v>
      </c>
      <c r="Y66" s="9"/>
      <c r="Z66" s="9"/>
      <c r="AA66" s="9"/>
      <c r="AB66" s="10"/>
      <c r="AC66" s="24">
        <v>0</v>
      </c>
      <c r="AD66" s="11">
        <v>0</v>
      </c>
      <c r="AE66" s="8">
        <v>4072.71</v>
      </c>
      <c r="AF66" s="9"/>
      <c r="AG66" s="10"/>
      <c r="AH66" s="11"/>
      <c r="AI66" s="8">
        <v>124020.55</v>
      </c>
      <c r="AJ66" s="9"/>
      <c r="AK66" s="10"/>
      <c r="AL66" s="25"/>
      <c r="AM66" s="25"/>
      <c r="AN66" s="25"/>
      <c r="AO66" s="10"/>
      <c r="AP66" s="12">
        <v>178520</v>
      </c>
      <c r="AQ66" s="12"/>
      <c r="AR66" s="12"/>
      <c r="AS66" s="242"/>
      <c r="AT66" s="243"/>
      <c r="AU66" s="242"/>
      <c r="AV66" s="242"/>
      <c r="AW66" s="244"/>
      <c r="AX66" s="243" t="s">
        <v>630</v>
      </c>
      <c r="AY66" s="243" t="s">
        <v>630</v>
      </c>
      <c r="AZ66" s="15">
        <v>178520</v>
      </c>
      <c r="BA66" s="15">
        <v>128093.26</v>
      </c>
      <c r="BB66" s="15">
        <v>178520</v>
      </c>
      <c r="BC66" s="15">
        <v>128093.26</v>
      </c>
      <c r="BD66" s="242">
        <v>0</v>
      </c>
      <c r="BE66" s="242">
        <v>0</v>
      </c>
      <c r="BF66" s="242"/>
      <c r="BG66" s="242">
        <v>2</v>
      </c>
      <c r="BH66" s="242">
        <v>0</v>
      </c>
      <c r="BI66" s="242">
        <v>0</v>
      </c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 t="s">
        <v>634</v>
      </c>
      <c r="BW66" s="242">
        <v>0</v>
      </c>
      <c r="BX66" s="242">
        <v>4072.71</v>
      </c>
      <c r="BY66" s="242">
        <v>0</v>
      </c>
      <c r="BZ66" s="242">
        <v>4072.71</v>
      </c>
      <c r="CA66" s="242">
        <v>0</v>
      </c>
      <c r="CB66" s="243" t="s">
        <v>633</v>
      </c>
      <c r="CC66" s="248">
        <v>128093.26</v>
      </c>
      <c r="CD66" s="248">
        <v>124020.55</v>
      </c>
      <c r="CE66" s="248">
        <v>178520</v>
      </c>
      <c r="CF66" s="248">
        <v>0</v>
      </c>
    </row>
    <row r="67" spans="1:84" x14ac:dyDescent="0.25">
      <c r="A67" s="254" t="s">
        <v>756</v>
      </c>
      <c r="B67" s="255" t="s">
        <v>757</v>
      </c>
      <c r="C67" s="255" t="s">
        <v>646</v>
      </c>
      <c r="D67" s="233"/>
      <c r="E67" s="234">
        <v>3650.84</v>
      </c>
      <c r="F67" s="235">
        <v>3650.84</v>
      </c>
      <c r="G67" s="256"/>
      <c r="H67" s="257"/>
      <c r="I67" s="237"/>
      <c r="J67" s="238">
        <v>3650.84</v>
      </c>
      <c r="K67" s="239"/>
      <c r="L67" s="240"/>
      <c r="M67" s="8">
        <v>3081.58</v>
      </c>
      <c r="N67" s="241">
        <v>3081.58</v>
      </c>
      <c r="O67" s="71"/>
      <c r="P67" s="100"/>
      <c r="Q67" s="9"/>
      <c r="R67" s="9"/>
      <c r="S67" s="9"/>
      <c r="T67" s="258">
        <v>45777</v>
      </c>
      <c r="U67" s="10"/>
      <c r="V67" s="23"/>
      <c r="W67" s="11"/>
      <c r="X67" s="8">
        <v>3081.58</v>
      </c>
      <c r="Y67" s="9"/>
      <c r="Z67" s="9"/>
      <c r="AA67" s="9"/>
      <c r="AB67" s="10"/>
      <c r="AC67" s="24">
        <v>0</v>
      </c>
      <c r="AD67" s="11">
        <v>0</v>
      </c>
      <c r="AE67" s="8">
        <v>1479.96</v>
      </c>
      <c r="AF67" s="9"/>
      <c r="AG67" s="10"/>
      <c r="AH67" s="11"/>
      <c r="AI67" s="8">
        <v>1601.62</v>
      </c>
      <c r="AJ67" s="9"/>
      <c r="AK67" s="10"/>
      <c r="AL67" s="25"/>
      <c r="AM67" s="25"/>
      <c r="AN67" s="25"/>
      <c r="AO67" s="10"/>
      <c r="AP67" s="12">
        <v>3650.84</v>
      </c>
      <c r="AQ67" s="12"/>
      <c r="AR67" s="12"/>
      <c r="AS67" s="242"/>
      <c r="AT67" s="243"/>
      <c r="AU67" s="242"/>
      <c r="AV67" s="242"/>
      <c r="AW67" s="244"/>
      <c r="AX67" s="243" t="s">
        <v>630</v>
      </c>
      <c r="AY67" s="243" t="s">
        <v>630</v>
      </c>
      <c r="AZ67" s="15">
        <v>3650.84</v>
      </c>
      <c r="BA67" s="15">
        <v>3081.58</v>
      </c>
      <c r="BB67" s="15">
        <v>3650.84</v>
      </c>
      <c r="BC67" s="15">
        <v>3081.58</v>
      </c>
      <c r="BD67" s="242">
        <v>0</v>
      </c>
      <c r="BE67" s="242">
        <v>0</v>
      </c>
      <c r="BF67" s="242"/>
      <c r="BG67" s="242">
        <v>2</v>
      </c>
      <c r="BH67" s="242">
        <v>0</v>
      </c>
      <c r="BI67" s="242">
        <v>0</v>
      </c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 t="s">
        <v>634</v>
      </c>
      <c r="BW67" s="242">
        <v>0</v>
      </c>
      <c r="BX67" s="242">
        <v>1479.96</v>
      </c>
      <c r="BY67" s="242">
        <v>0</v>
      </c>
      <c r="BZ67" s="242">
        <v>1479.96</v>
      </c>
      <c r="CA67" s="242">
        <v>0</v>
      </c>
      <c r="CB67" s="243" t="s">
        <v>633</v>
      </c>
      <c r="CC67" s="248">
        <v>3081.58</v>
      </c>
      <c r="CD67" s="248">
        <v>1601.62</v>
      </c>
      <c r="CE67" s="248">
        <v>3650.84</v>
      </c>
      <c r="CF67" s="248">
        <v>0</v>
      </c>
    </row>
    <row r="68" spans="1:84" x14ac:dyDescent="0.25">
      <c r="A68" s="254" t="s">
        <v>758</v>
      </c>
      <c r="B68" s="255" t="s">
        <v>759</v>
      </c>
      <c r="C68" s="255" t="s">
        <v>636</v>
      </c>
      <c r="D68" s="233"/>
      <c r="E68" s="234">
        <v>27855.01</v>
      </c>
      <c r="F68" s="235">
        <v>27855.01</v>
      </c>
      <c r="G68" s="256"/>
      <c r="H68" s="257"/>
      <c r="I68" s="237"/>
      <c r="J68" s="238">
        <v>27855.01</v>
      </c>
      <c r="K68" s="239"/>
      <c r="L68" s="240"/>
      <c r="M68" s="8">
        <v>24418.01</v>
      </c>
      <c r="N68" s="241">
        <v>24418.01</v>
      </c>
      <c r="O68" s="71"/>
      <c r="P68" s="100"/>
      <c r="Q68" s="9"/>
      <c r="R68" s="9"/>
      <c r="S68" s="9"/>
      <c r="T68" s="258">
        <v>45657</v>
      </c>
      <c r="U68" s="10"/>
      <c r="V68" s="23"/>
      <c r="W68" s="11"/>
      <c r="X68" s="8">
        <v>24418.01</v>
      </c>
      <c r="Y68" s="9"/>
      <c r="Z68" s="9"/>
      <c r="AA68" s="9"/>
      <c r="AB68" s="10"/>
      <c r="AC68" s="24">
        <v>0</v>
      </c>
      <c r="AD68" s="11">
        <v>0</v>
      </c>
      <c r="AE68" s="8">
        <v>24418.01</v>
      </c>
      <c r="AF68" s="9"/>
      <c r="AG68" s="10"/>
      <c r="AH68" s="11"/>
      <c r="AI68" s="8">
        <v>0</v>
      </c>
      <c r="AJ68" s="9"/>
      <c r="AK68" s="10"/>
      <c r="AL68" s="25"/>
      <c r="AM68" s="25"/>
      <c r="AN68" s="25"/>
      <c r="AO68" s="10"/>
      <c r="AP68" s="12">
        <v>27855.01</v>
      </c>
      <c r="AQ68" s="12"/>
      <c r="AR68" s="12"/>
      <c r="AS68" s="242"/>
      <c r="AT68" s="243"/>
      <c r="AU68" s="242"/>
      <c r="AV68" s="242"/>
      <c r="AW68" s="244"/>
      <c r="AX68" s="243"/>
      <c r="AY68" s="243"/>
      <c r="AZ68" s="242">
        <v>0</v>
      </c>
      <c r="BA68" s="242">
        <v>0</v>
      </c>
      <c r="BB68" s="242">
        <v>0</v>
      </c>
      <c r="BC68" s="242">
        <v>0</v>
      </c>
      <c r="BD68" s="242">
        <v>0</v>
      </c>
      <c r="BE68" s="242">
        <v>0</v>
      </c>
      <c r="BF68" s="242"/>
      <c r="BG68" s="242">
        <v>2</v>
      </c>
      <c r="BH68" s="242">
        <v>0</v>
      </c>
      <c r="BI68" s="242">
        <v>0</v>
      </c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>
        <v>0</v>
      </c>
      <c r="BX68" s="242">
        <v>24418.01</v>
      </c>
      <c r="BY68" s="242">
        <v>0</v>
      </c>
      <c r="BZ68" s="242">
        <v>24418.01</v>
      </c>
      <c r="CA68" s="242">
        <v>0</v>
      </c>
      <c r="CB68" s="243" t="s">
        <v>633</v>
      </c>
      <c r="CC68" s="248">
        <v>24418.01</v>
      </c>
      <c r="CD68" s="248">
        <v>0</v>
      </c>
      <c r="CE68" s="248">
        <v>27855.01</v>
      </c>
      <c r="CF68" s="248">
        <v>0</v>
      </c>
    </row>
    <row r="69" spans="1:84" x14ac:dyDescent="0.25">
      <c r="A69" s="254" t="s">
        <v>760</v>
      </c>
      <c r="B69" s="255" t="s">
        <v>761</v>
      </c>
      <c r="C69" s="255" t="s">
        <v>636</v>
      </c>
      <c r="D69" s="233"/>
      <c r="E69" s="234">
        <v>3634.44</v>
      </c>
      <c r="F69" s="235">
        <v>3634.44</v>
      </c>
      <c r="G69" s="256"/>
      <c r="H69" s="257"/>
      <c r="I69" s="237"/>
      <c r="J69" s="238">
        <v>3634.44</v>
      </c>
      <c r="K69" s="239"/>
      <c r="L69" s="240"/>
      <c r="M69" s="8">
        <v>2633.99</v>
      </c>
      <c r="N69" s="241">
        <v>2633.99</v>
      </c>
      <c r="O69" s="71"/>
      <c r="P69" s="100"/>
      <c r="Q69" s="9"/>
      <c r="R69" s="9"/>
      <c r="S69" s="9"/>
      <c r="T69" s="258">
        <v>45657</v>
      </c>
      <c r="U69" s="10"/>
      <c r="V69" s="23"/>
      <c r="W69" s="11"/>
      <c r="X69" s="8">
        <v>2633.99</v>
      </c>
      <c r="Y69" s="9"/>
      <c r="Z69" s="9"/>
      <c r="AA69" s="9"/>
      <c r="AB69" s="10"/>
      <c r="AC69" s="24">
        <v>0</v>
      </c>
      <c r="AD69" s="11">
        <v>0</v>
      </c>
      <c r="AE69" s="8">
        <v>2633.99</v>
      </c>
      <c r="AF69" s="9"/>
      <c r="AG69" s="10"/>
      <c r="AH69" s="11"/>
      <c r="AI69" s="8">
        <v>0</v>
      </c>
      <c r="AJ69" s="9"/>
      <c r="AK69" s="10"/>
      <c r="AL69" s="25"/>
      <c r="AM69" s="25"/>
      <c r="AN69" s="25"/>
      <c r="AO69" s="10"/>
      <c r="AP69" s="12">
        <v>3634.44</v>
      </c>
      <c r="AQ69" s="12"/>
      <c r="AR69" s="12"/>
      <c r="AS69" s="242"/>
      <c r="AT69" s="243"/>
      <c r="AU69" s="242"/>
      <c r="AV69" s="242"/>
      <c r="AW69" s="244"/>
      <c r="AX69" s="243"/>
      <c r="AY69" s="243"/>
      <c r="AZ69" s="242">
        <v>0</v>
      </c>
      <c r="BA69" s="242">
        <v>0</v>
      </c>
      <c r="BB69" s="242">
        <v>0</v>
      </c>
      <c r="BC69" s="242">
        <v>0</v>
      </c>
      <c r="BD69" s="242">
        <v>0</v>
      </c>
      <c r="BE69" s="242">
        <v>0</v>
      </c>
      <c r="BF69" s="242"/>
      <c r="BG69" s="242">
        <v>2</v>
      </c>
      <c r="BH69" s="242">
        <v>0</v>
      </c>
      <c r="BI69" s="242">
        <v>0</v>
      </c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>
        <v>0</v>
      </c>
      <c r="BX69" s="242">
        <v>2633.99</v>
      </c>
      <c r="BY69" s="242">
        <v>0</v>
      </c>
      <c r="BZ69" s="242">
        <v>2633.99</v>
      </c>
      <c r="CA69" s="242">
        <v>0</v>
      </c>
      <c r="CB69" s="243" t="s">
        <v>633</v>
      </c>
      <c r="CC69" s="248">
        <v>2633.99</v>
      </c>
      <c r="CD69" s="248">
        <v>0</v>
      </c>
      <c r="CE69" s="248">
        <v>3634.44</v>
      </c>
      <c r="CF69" s="248">
        <v>0</v>
      </c>
    </row>
    <row r="70" spans="1:84" x14ac:dyDescent="0.25">
      <c r="A70" s="254" t="s">
        <v>762</v>
      </c>
      <c r="B70" s="255" t="s">
        <v>763</v>
      </c>
      <c r="C70" s="255" t="s">
        <v>636</v>
      </c>
      <c r="D70" s="233"/>
      <c r="E70" s="234">
        <v>11336.3</v>
      </c>
      <c r="F70" s="235">
        <v>11336.3</v>
      </c>
      <c r="G70" s="256"/>
      <c r="H70" s="257"/>
      <c r="I70" s="237"/>
      <c r="J70" s="238">
        <v>11336.3</v>
      </c>
      <c r="K70" s="239"/>
      <c r="L70" s="240"/>
      <c r="M70" s="8">
        <v>11057.5</v>
      </c>
      <c r="N70" s="241">
        <v>11057.5</v>
      </c>
      <c r="O70" s="71"/>
      <c r="P70" s="100"/>
      <c r="Q70" s="9"/>
      <c r="R70" s="9"/>
      <c r="S70" s="9"/>
      <c r="T70" s="258">
        <v>45657</v>
      </c>
      <c r="U70" s="10"/>
      <c r="V70" s="23"/>
      <c r="W70" s="11"/>
      <c r="X70" s="8">
        <v>11057.5</v>
      </c>
      <c r="Y70" s="9"/>
      <c r="Z70" s="9"/>
      <c r="AA70" s="9"/>
      <c r="AB70" s="10"/>
      <c r="AC70" s="24">
        <v>0</v>
      </c>
      <c r="AD70" s="11">
        <v>0</v>
      </c>
      <c r="AE70" s="8">
        <v>11057.5</v>
      </c>
      <c r="AF70" s="9"/>
      <c r="AG70" s="10"/>
      <c r="AH70" s="11"/>
      <c r="AI70" s="8">
        <v>0</v>
      </c>
      <c r="AJ70" s="9"/>
      <c r="AK70" s="10"/>
      <c r="AL70" s="25"/>
      <c r="AM70" s="25"/>
      <c r="AN70" s="25"/>
      <c r="AO70" s="10"/>
      <c r="AP70" s="12">
        <v>11336.3</v>
      </c>
      <c r="AQ70" s="12"/>
      <c r="AR70" s="12"/>
      <c r="AS70" s="242"/>
      <c r="AT70" s="243"/>
      <c r="AU70" s="242"/>
      <c r="AV70" s="242"/>
      <c r="AW70" s="244"/>
      <c r="AX70" s="243"/>
      <c r="AY70" s="243"/>
      <c r="AZ70" s="242">
        <v>0</v>
      </c>
      <c r="BA70" s="242">
        <v>0</v>
      </c>
      <c r="BB70" s="242">
        <v>0</v>
      </c>
      <c r="BC70" s="242">
        <v>0</v>
      </c>
      <c r="BD70" s="242">
        <v>0</v>
      </c>
      <c r="BE70" s="242">
        <v>0</v>
      </c>
      <c r="BF70" s="242"/>
      <c r="BG70" s="242">
        <v>2</v>
      </c>
      <c r="BH70" s="242">
        <v>0</v>
      </c>
      <c r="BI70" s="242">
        <v>0</v>
      </c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>
        <v>0</v>
      </c>
      <c r="BX70" s="242">
        <v>11057.5</v>
      </c>
      <c r="BY70" s="242">
        <v>0</v>
      </c>
      <c r="BZ70" s="242">
        <v>11057.5</v>
      </c>
      <c r="CA70" s="242">
        <v>0</v>
      </c>
      <c r="CB70" s="243" t="s">
        <v>633</v>
      </c>
      <c r="CC70" s="248">
        <v>11057.5</v>
      </c>
      <c r="CD70" s="248">
        <v>0</v>
      </c>
      <c r="CE70" s="248">
        <v>11336.3</v>
      </c>
      <c r="CF70" s="248">
        <v>0</v>
      </c>
    </row>
    <row r="71" spans="1:84" x14ac:dyDescent="0.25">
      <c r="A71" s="254" t="s">
        <v>764</v>
      </c>
      <c r="B71" s="255" t="s">
        <v>765</v>
      </c>
      <c r="C71" s="255" t="s">
        <v>636</v>
      </c>
      <c r="D71" s="233"/>
      <c r="E71" s="234">
        <v>798.02</v>
      </c>
      <c r="F71" s="235">
        <v>798.02</v>
      </c>
      <c r="G71" s="256"/>
      <c r="H71" s="257"/>
      <c r="I71" s="237"/>
      <c r="J71" s="238">
        <v>798.02</v>
      </c>
      <c r="K71" s="239"/>
      <c r="L71" s="240"/>
      <c r="M71" s="8">
        <v>869.84</v>
      </c>
      <c r="N71" s="241">
        <v>869.84</v>
      </c>
      <c r="O71" s="71"/>
      <c r="P71" s="100"/>
      <c r="Q71" s="9"/>
      <c r="R71" s="9"/>
      <c r="S71" s="9"/>
      <c r="T71" s="258">
        <v>45657</v>
      </c>
      <c r="U71" s="10"/>
      <c r="V71" s="23"/>
      <c r="W71" s="11"/>
      <c r="X71" s="8">
        <v>869.84</v>
      </c>
      <c r="Y71" s="9"/>
      <c r="Z71" s="9"/>
      <c r="AA71" s="9"/>
      <c r="AB71" s="10"/>
      <c r="AC71" s="24">
        <v>0</v>
      </c>
      <c r="AD71" s="11">
        <v>0</v>
      </c>
      <c r="AE71" s="8">
        <v>869.84</v>
      </c>
      <c r="AF71" s="9"/>
      <c r="AG71" s="10"/>
      <c r="AH71" s="11"/>
      <c r="AI71" s="8">
        <v>0</v>
      </c>
      <c r="AJ71" s="9"/>
      <c r="AK71" s="10"/>
      <c r="AL71" s="25"/>
      <c r="AM71" s="25"/>
      <c r="AN71" s="25"/>
      <c r="AO71" s="10"/>
      <c r="AP71" s="12">
        <v>798.02</v>
      </c>
      <c r="AQ71" s="12"/>
      <c r="AR71" s="12"/>
      <c r="AS71" s="242"/>
      <c r="AT71" s="243"/>
      <c r="AU71" s="242"/>
      <c r="AV71" s="242"/>
      <c r="AW71" s="244"/>
      <c r="AX71" s="243"/>
      <c r="AY71" s="243"/>
      <c r="AZ71" s="242">
        <v>0</v>
      </c>
      <c r="BA71" s="242">
        <v>0</v>
      </c>
      <c r="BB71" s="242">
        <v>0</v>
      </c>
      <c r="BC71" s="242">
        <v>0</v>
      </c>
      <c r="BD71" s="242">
        <v>0</v>
      </c>
      <c r="BE71" s="242">
        <v>0</v>
      </c>
      <c r="BF71" s="242"/>
      <c r="BG71" s="242">
        <v>2</v>
      </c>
      <c r="BH71" s="242">
        <v>0</v>
      </c>
      <c r="BI71" s="242">
        <v>0</v>
      </c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>
        <v>0</v>
      </c>
      <c r="BX71" s="242">
        <v>869.84</v>
      </c>
      <c r="BY71" s="242">
        <v>0</v>
      </c>
      <c r="BZ71" s="242">
        <v>869.84</v>
      </c>
      <c r="CA71" s="242">
        <v>0</v>
      </c>
      <c r="CB71" s="243" t="s">
        <v>633</v>
      </c>
      <c r="CC71" s="248">
        <v>869.84</v>
      </c>
      <c r="CD71" s="248">
        <v>0</v>
      </c>
      <c r="CE71" s="248">
        <v>798.02</v>
      </c>
      <c r="CF71" s="248">
        <v>0</v>
      </c>
    </row>
    <row r="72" spans="1:84" x14ac:dyDescent="0.25">
      <c r="A72" s="254" t="s">
        <v>766</v>
      </c>
      <c r="B72" s="255" t="s">
        <v>767</v>
      </c>
      <c r="C72" s="255" t="s">
        <v>646</v>
      </c>
      <c r="D72" s="233"/>
      <c r="E72" s="234">
        <v>117701</v>
      </c>
      <c r="F72" s="235">
        <v>117701</v>
      </c>
      <c r="G72" s="256"/>
      <c r="H72" s="257"/>
      <c r="I72" s="237"/>
      <c r="J72" s="238">
        <v>134976.95000000001</v>
      </c>
      <c r="K72" s="239"/>
      <c r="L72" s="240"/>
      <c r="M72" s="8">
        <v>123728.38</v>
      </c>
      <c r="N72" s="241">
        <v>123728.38</v>
      </c>
      <c r="O72" s="71"/>
      <c r="P72" s="100"/>
      <c r="Q72" s="9"/>
      <c r="R72" s="9"/>
      <c r="S72" s="9"/>
      <c r="T72" s="258">
        <v>46022</v>
      </c>
      <c r="U72" s="10"/>
      <c r="V72" s="23"/>
      <c r="W72" s="11"/>
      <c r="X72" s="8">
        <v>123728.38</v>
      </c>
      <c r="Y72" s="9"/>
      <c r="Z72" s="9"/>
      <c r="AA72" s="9"/>
      <c r="AB72" s="10"/>
      <c r="AC72" s="24">
        <v>0</v>
      </c>
      <c r="AD72" s="11">
        <v>0</v>
      </c>
      <c r="AE72" s="8">
        <v>0</v>
      </c>
      <c r="AF72" s="9"/>
      <c r="AG72" s="10"/>
      <c r="AH72" s="11"/>
      <c r="AI72" s="8">
        <v>123728.38</v>
      </c>
      <c r="AJ72" s="9"/>
      <c r="AK72" s="10"/>
      <c r="AL72" s="25"/>
      <c r="AM72" s="25"/>
      <c r="AN72" s="25"/>
      <c r="AO72" s="10"/>
      <c r="AP72" s="12">
        <v>134976.95000000001</v>
      </c>
      <c r="AQ72" s="12"/>
      <c r="AR72" s="12"/>
      <c r="AS72" s="242"/>
      <c r="AT72" s="243"/>
      <c r="AU72" s="242"/>
      <c r="AV72" s="242"/>
      <c r="AW72" s="244"/>
      <c r="AX72" s="243" t="s">
        <v>630</v>
      </c>
      <c r="AY72" s="243" t="s">
        <v>630</v>
      </c>
      <c r="AZ72" s="15">
        <v>134976.95000000001</v>
      </c>
      <c r="BA72" s="15">
        <v>123728.38</v>
      </c>
      <c r="BB72" s="15">
        <v>134976.95000000001</v>
      </c>
      <c r="BC72" s="15">
        <v>123728.38</v>
      </c>
      <c r="BD72" s="242">
        <v>0</v>
      </c>
      <c r="BE72" s="242">
        <v>0</v>
      </c>
      <c r="BF72" s="242"/>
      <c r="BG72" s="242">
        <v>2</v>
      </c>
      <c r="BH72" s="242">
        <v>0</v>
      </c>
      <c r="BI72" s="242">
        <v>0</v>
      </c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 t="s">
        <v>634</v>
      </c>
      <c r="BW72" s="242">
        <v>0</v>
      </c>
      <c r="BX72" s="242">
        <v>0</v>
      </c>
      <c r="BY72" s="242">
        <v>0</v>
      </c>
      <c r="BZ72" s="242">
        <v>0</v>
      </c>
      <c r="CA72" s="242">
        <v>0</v>
      </c>
      <c r="CB72" s="243" t="s">
        <v>633</v>
      </c>
      <c r="CC72" s="248">
        <v>123728.38</v>
      </c>
      <c r="CD72" s="248">
        <v>123728.38</v>
      </c>
      <c r="CE72" s="248">
        <v>134976.95000000001</v>
      </c>
      <c r="CF72" s="248">
        <v>0</v>
      </c>
    </row>
    <row r="73" spans="1:84" x14ac:dyDescent="0.25">
      <c r="A73" s="254" t="s">
        <v>768</v>
      </c>
      <c r="B73" s="255" t="s">
        <v>769</v>
      </c>
      <c r="C73" s="255" t="s">
        <v>652</v>
      </c>
      <c r="D73" s="233"/>
      <c r="E73" s="234">
        <v>332999.40000000002</v>
      </c>
      <c r="F73" s="235">
        <v>332999.40000000002</v>
      </c>
      <c r="G73" s="256"/>
      <c r="H73" s="257"/>
      <c r="I73" s="237"/>
      <c r="J73" s="238">
        <v>332999.40000000002</v>
      </c>
      <c r="K73" s="239"/>
      <c r="L73" s="240"/>
      <c r="M73" s="8">
        <v>283060.62</v>
      </c>
      <c r="N73" s="241">
        <v>277999.40000000002</v>
      </c>
      <c r="O73" s="71"/>
      <c r="P73" s="100"/>
      <c r="Q73" s="9"/>
      <c r="R73" s="9"/>
      <c r="S73" s="9"/>
      <c r="T73" s="258">
        <v>46112</v>
      </c>
      <c r="U73" s="10"/>
      <c r="V73" s="23"/>
      <c r="W73" s="11"/>
      <c r="X73" s="8">
        <v>51870.41</v>
      </c>
      <c r="Y73" s="9"/>
      <c r="Z73" s="9"/>
      <c r="AA73" s="9"/>
      <c r="AB73" s="10"/>
      <c r="AC73" s="24">
        <v>0</v>
      </c>
      <c r="AD73" s="11">
        <v>0</v>
      </c>
      <c r="AE73" s="8">
        <v>0</v>
      </c>
      <c r="AF73" s="9"/>
      <c r="AG73" s="10"/>
      <c r="AH73" s="11"/>
      <c r="AI73" s="8">
        <v>51870.41</v>
      </c>
      <c r="AJ73" s="9"/>
      <c r="AK73" s="10"/>
      <c r="AL73" s="25"/>
      <c r="AM73" s="25"/>
      <c r="AN73" s="25"/>
      <c r="AO73" s="10"/>
      <c r="AP73" s="12">
        <v>89212.4</v>
      </c>
      <c r="AQ73" s="12"/>
      <c r="AR73" s="12"/>
      <c r="AS73" s="242"/>
      <c r="AT73" s="243"/>
      <c r="AU73" s="242"/>
      <c r="AV73" s="242"/>
      <c r="AW73" s="244"/>
      <c r="AX73" s="243" t="s">
        <v>630</v>
      </c>
      <c r="AY73" s="243" t="s">
        <v>630</v>
      </c>
      <c r="AZ73" s="15">
        <v>332999.40000000002</v>
      </c>
      <c r="BA73" s="15">
        <v>277999.40000000002</v>
      </c>
      <c r="BB73" s="15">
        <v>332999.40000000002</v>
      </c>
      <c r="BC73" s="15">
        <v>277999.40000000002</v>
      </c>
      <c r="BD73" s="242">
        <v>0</v>
      </c>
      <c r="BE73" s="242">
        <v>0</v>
      </c>
      <c r="BF73" s="242"/>
      <c r="BG73" s="242">
        <v>2</v>
      </c>
      <c r="BH73" s="242">
        <v>0</v>
      </c>
      <c r="BI73" s="242">
        <v>0</v>
      </c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 t="s">
        <v>634</v>
      </c>
      <c r="BW73" s="242">
        <v>0</v>
      </c>
      <c r="BX73" s="242">
        <v>0</v>
      </c>
      <c r="BY73" s="242">
        <v>0</v>
      </c>
      <c r="BZ73" s="242">
        <v>0</v>
      </c>
      <c r="CA73" s="242">
        <v>0</v>
      </c>
      <c r="CB73" s="243" t="s">
        <v>633</v>
      </c>
      <c r="CC73" s="248">
        <v>51870.41</v>
      </c>
      <c r="CD73" s="248">
        <v>51870.41</v>
      </c>
      <c r="CE73" s="248">
        <v>89212.4</v>
      </c>
      <c r="CF73" s="248">
        <v>0</v>
      </c>
    </row>
    <row r="74" spans="1:84" x14ac:dyDescent="0.25">
      <c r="A74" s="254" t="s">
        <v>770</v>
      </c>
      <c r="B74" s="255" t="s">
        <v>771</v>
      </c>
      <c r="C74" s="255" t="s">
        <v>652</v>
      </c>
      <c r="D74" s="233"/>
      <c r="E74" s="234">
        <v>33252</v>
      </c>
      <c r="F74" s="235">
        <v>33252</v>
      </c>
      <c r="G74" s="256"/>
      <c r="H74" s="257"/>
      <c r="I74" s="237"/>
      <c r="J74" s="238">
        <v>33252</v>
      </c>
      <c r="K74" s="239"/>
      <c r="L74" s="240"/>
      <c r="M74" s="8">
        <v>12870.89</v>
      </c>
      <c r="N74" s="241">
        <v>12870.98</v>
      </c>
      <c r="O74" s="71"/>
      <c r="P74" s="100"/>
      <c r="Q74" s="9"/>
      <c r="R74" s="9"/>
      <c r="S74" s="9"/>
      <c r="T74" s="258">
        <v>45869</v>
      </c>
      <c r="U74" s="10"/>
      <c r="V74" s="23"/>
      <c r="W74" s="11"/>
      <c r="X74" s="8">
        <v>12870.98</v>
      </c>
      <c r="Y74" s="9"/>
      <c r="Z74" s="9"/>
      <c r="AA74" s="9"/>
      <c r="AB74" s="10"/>
      <c r="AC74" s="24">
        <v>0</v>
      </c>
      <c r="AD74" s="11">
        <v>0</v>
      </c>
      <c r="AE74" s="8">
        <v>0</v>
      </c>
      <c r="AF74" s="9"/>
      <c r="AG74" s="10"/>
      <c r="AH74" s="11"/>
      <c r="AI74" s="8">
        <v>12870.98</v>
      </c>
      <c r="AJ74" s="9"/>
      <c r="AK74" s="10"/>
      <c r="AL74" s="25"/>
      <c r="AM74" s="25"/>
      <c r="AN74" s="25"/>
      <c r="AO74" s="10"/>
      <c r="AP74" s="12">
        <v>33252</v>
      </c>
      <c r="AQ74" s="12"/>
      <c r="AR74" s="12"/>
      <c r="AS74" s="242"/>
      <c r="AT74" s="243"/>
      <c r="AU74" s="242"/>
      <c r="AV74" s="242"/>
      <c r="AW74" s="244"/>
      <c r="AX74" s="243" t="s">
        <v>630</v>
      </c>
      <c r="AY74" s="243" t="s">
        <v>630</v>
      </c>
      <c r="AZ74" s="15">
        <v>33252</v>
      </c>
      <c r="BA74" s="15">
        <v>12870.98</v>
      </c>
      <c r="BB74" s="15">
        <v>33252</v>
      </c>
      <c r="BC74" s="15">
        <v>12870.98</v>
      </c>
      <c r="BD74" s="242">
        <v>0</v>
      </c>
      <c r="BE74" s="242">
        <v>0</v>
      </c>
      <c r="BF74" s="242"/>
      <c r="BG74" s="242">
        <v>2</v>
      </c>
      <c r="BH74" s="242">
        <v>0</v>
      </c>
      <c r="BI74" s="242">
        <v>0</v>
      </c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 t="s">
        <v>634</v>
      </c>
      <c r="BW74" s="242">
        <v>0</v>
      </c>
      <c r="BX74" s="242">
        <v>0</v>
      </c>
      <c r="BY74" s="242">
        <v>0</v>
      </c>
      <c r="BZ74" s="242">
        <v>0</v>
      </c>
      <c r="CA74" s="242">
        <v>0</v>
      </c>
      <c r="CB74" s="243" t="s">
        <v>633</v>
      </c>
      <c r="CC74" s="248">
        <v>12870.98</v>
      </c>
      <c r="CD74" s="248">
        <v>12870.98</v>
      </c>
      <c r="CE74" s="248">
        <v>33252</v>
      </c>
      <c r="CF74" s="248">
        <v>0</v>
      </c>
    </row>
    <row r="75" spans="1:84" x14ac:dyDescent="0.25">
      <c r="A75" s="254" t="s">
        <v>772</v>
      </c>
      <c r="B75" s="255" t="s">
        <v>773</v>
      </c>
      <c r="C75" s="255" t="s">
        <v>636</v>
      </c>
      <c r="D75" s="233"/>
      <c r="E75" s="234">
        <v>21978</v>
      </c>
      <c r="F75" s="235">
        <v>21978</v>
      </c>
      <c r="G75" s="256"/>
      <c r="H75" s="257"/>
      <c r="I75" s="237"/>
      <c r="J75" s="238">
        <v>21978</v>
      </c>
      <c r="K75" s="239"/>
      <c r="L75" s="240"/>
      <c r="M75" s="8">
        <v>7674.83</v>
      </c>
      <c r="N75" s="241">
        <v>7674.83</v>
      </c>
      <c r="O75" s="71"/>
      <c r="P75" s="100"/>
      <c r="Q75" s="9"/>
      <c r="R75" s="9"/>
      <c r="S75" s="9"/>
      <c r="T75" s="258">
        <v>45961</v>
      </c>
      <c r="U75" s="10"/>
      <c r="V75" s="23"/>
      <c r="W75" s="11"/>
      <c r="X75" s="8">
        <v>7674.83</v>
      </c>
      <c r="Y75" s="9"/>
      <c r="Z75" s="9"/>
      <c r="AA75" s="9"/>
      <c r="AB75" s="10"/>
      <c r="AC75" s="24">
        <v>0</v>
      </c>
      <c r="AD75" s="11">
        <v>0</v>
      </c>
      <c r="AE75" s="8">
        <v>0</v>
      </c>
      <c r="AF75" s="9"/>
      <c r="AG75" s="10"/>
      <c r="AH75" s="11"/>
      <c r="AI75" s="8">
        <v>7674.83</v>
      </c>
      <c r="AJ75" s="9"/>
      <c r="AK75" s="10"/>
      <c r="AL75" s="25"/>
      <c r="AM75" s="25"/>
      <c r="AN75" s="25"/>
      <c r="AO75" s="10"/>
      <c r="AP75" s="12">
        <v>21978</v>
      </c>
      <c r="AQ75" s="12"/>
      <c r="AR75" s="12"/>
      <c r="AS75" s="242"/>
      <c r="AT75" s="243"/>
      <c r="AU75" s="242"/>
      <c r="AV75" s="242"/>
      <c r="AW75" s="244"/>
      <c r="AX75" s="243" t="s">
        <v>630</v>
      </c>
      <c r="AY75" s="243" t="s">
        <v>630</v>
      </c>
      <c r="AZ75" s="15">
        <v>21978</v>
      </c>
      <c r="BA75" s="15">
        <v>7674.83</v>
      </c>
      <c r="BB75" s="15">
        <v>21978</v>
      </c>
      <c r="BC75" s="15">
        <v>7674.83</v>
      </c>
      <c r="BD75" s="242">
        <v>0</v>
      </c>
      <c r="BE75" s="242">
        <v>0</v>
      </c>
      <c r="BF75" s="242"/>
      <c r="BG75" s="242">
        <v>2</v>
      </c>
      <c r="BH75" s="242">
        <v>0</v>
      </c>
      <c r="BI75" s="242">
        <v>0</v>
      </c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 t="s">
        <v>634</v>
      </c>
      <c r="BW75" s="242">
        <v>0</v>
      </c>
      <c r="BX75" s="242">
        <v>0</v>
      </c>
      <c r="BY75" s="242">
        <v>0</v>
      </c>
      <c r="BZ75" s="242">
        <v>0</v>
      </c>
      <c r="CA75" s="242">
        <v>0</v>
      </c>
      <c r="CB75" s="243" t="s">
        <v>633</v>
      </c>
      <c r="CC75" s="248">
        <v>7674.83</v>
      </c>
      <c r="CD75" s="248">
        <v>7674.83</v>
      </c>
      <c r="CE75" s="248">
        <v>21978</v>
      </c>
      <c r="CF75" s="248">
        <v>0</v>
      </c>
    </row>
    <row r="76" spans="1:84" x14ac:dyDescent="0.25">
      <c r="A76" s="254" t="s">
        <v>774</v>
      </c>
      <c r="B76" s="255" t="s">
        <v>775</v>
      </c>
      <c r="C76" s="255" t="s">
        <v>646</v>
      </c>
      <c r="D76" s="233"/>
      <c r="E76" s="234">
        <v>46747.5</v>
      </c>
      <c r="F76" s="235">
        <v>46747.5</v>
      </c>
      <c r="G76" s="256"/>
      <c r="H76" s="257"/>
      <c r="I76" s="237"/>
      <c r="J76" s="238">
        <v>56895.8</v>
      </c>
      <c r="K76" s="239"/>
      <c r="L76" s="240"/>
      <c r="M76" s="8">
        <v>35975.870000000003</v>
      </c>
      <c r="N76" s="241">
        <v>35975.870000000003</v>
      </c>
      <c r="O76" s="71"/>
      <c r="P76" s="100"/>
      <c r="Q76" s="9"/>
      <c r="R76" s="9"/>
      <c r="S76" s="9"/>
      <c r="T76" s="258">
        <v>46022</v>
      </c>
      <c r="U76" s="10"/>
      <c r="V76" s="23"/>
      <c r="W76" s="11"/>
      <c r="X76" s="8">
        <v>35975.870000000003</v>
      </c>
      <c r="Y76" s="9"/>
      <c r="Z76" s="9"/>
      <c r="AA76" s="9"/>
      <c r="AB76" s="10"/>
      <c r="AC76" s="24">
        <v>0</v>
      </c>
      <c r="AD76" s="11">
        <v>0</v>
      </c>
      <c r="AE76" s="8">
        <v>0</v>
      </c>
      <c r="AF76" s="9"/>
      <c r="AG76" s="10"/>
      <c r="AH76" s="11"/>
      <c r="AI76" s="8">
        <v>35975.870000000003</v>
      </c>
      <c r="AJ76" s="9"/>
      <c r="AK76" s="10"/>
      <c r="AL76" s="25"/>
      <c r="AM76" s="25"/>
      <c r="AN76" s="25"/>
      <c r="AO76" s="10"/>
      <c r="AP76" s="12">
        <v>56895.8</v>
      </c>
      <c r="AQ76" s="12"/>
      <c r="AR76" s="12"/>
      <c r="AS76" s="242"/>
      <c r="AT76" s="243"/>
      <c r="AU76" s="242"/>
      <c r="AV76" s="242"/>
      <c r="AW76" s="244"/>
      <c r="AX76" s="243" t="s">
        <v>630</v>
      </c>
      <c r="AY76" s="243" t="s">
        <v>630</v>
      </c>
      <c r="AZ76" s="15">
        <v>56895.8</v>
      </c>
      <c r="BA76" s="15">
        <v>35975.870000000003</v>
      </c>
      <c r="BB76" s="15">
        <v>56895.8</v>
      </c>
      <c r="BC76" s="15">
        <v>35975.870000000003</v>
      </c>
      <c r="BD76" s="242">
        <v>0</v>
      </c>
      <c r="BE76" s="242">
        <v>0</v>
      </c>
      <c r="BF76" s="242"/>
      <c r="BG76" s="242">
        <v>2</v>
      </c>
      <c r="BH76" s="242">
        <v>0</v>
      </c>
      <c r="BI76" s="242">
        <v>0</v>
      </c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 t="s">
        <v>634</v>
      </c>
      <c r="BW76" s="242">
        <v>0</v>
      </c>
      <c r="BX76" s="242">
        <v>0</v>
      </c>
      <c r="BY76" s="242">
        <v>0</v>
      </c>
      <c r="BZ76" s="242">
        <v>0</v>
      </c>
      <c r="CA76" s="242">
        <v>0</v>
      </c>
      <c r="CB76" s="243" t="s">
        <v>633</v>
      </c>
      <c r="CC76" s="248">
        <v>35975.870000000003</v>
      </c>
      <c r="CD76" s="248">
        <v>35975.870000000003</v>
      </c>
      <c r="CE76" s="248">
        <v>56895.8</v>
      </c>
      <c r="CF76" s="248">
        <v>0</v>
      </c>
    </row>
    <row r="77" spans="1:84" x14ac:dyDescent="0.25">
      <c r="A77" s="254" t="s">
        <v>776</v>
      </c>
      <c r="B77" s="255" t="s">
        <v>777</v>
      </c>
      <c r="C77" s="255" t="s">
        <v>636</v>
      </c>
      <c r="D77" s="233"/>
      <c r="E77" s="234">
        <v>25874.2</v>
      </c>
      <c r="F77" s="235">
        <v>25874.2</v>
      </c>
      <c r="G77" s="256"/>
      <c r="H77" s="257"/>
      <c r="I77" s="237"/>
      <c r="J77" s="238">
        <v>25874.2</v>
      </c>
      <c r="K77" s="239"/>
      <c r="L77" s="240"/>
      <c r="M77" s="8">
        <v>22907.19</v>
      </c>
      <c r="N77" s="241">
        <v>22907.19</v>
      </c>
      <c r="O77" s="71"/>
      <c r="P77" s="100"/>
      <c r="Q77" s="9"/>
      <c r="R77" s="9"/>
      <c r="S77" s="9"/>
      <c r="T77" s="258">
        <v>46022</v>
      </c>
      <c r="U77" s="10"/>
      <c r="V77" s="23"/>
      <c r="W77" s="11"/>
      <c r="X77" s="8">
        <v>22907.19</v>
      </c>
      <c r="Y77" s="9"/>
      <c r="Z77" s="9"/>
      <c r="AA77" s="9"/>
      <c r="AB77" s="10"/>
      <c r="AC77" s="24">
        <v>0</v>
      </c>
      <c r="AD77" s="11">
        <v>0</v>
      </c>
      <c r="AE77" s="8">
        <v>0</v>
      </c>
      <c r="AF77" s="9"/>
      <c r="AG77" s="10"/>
      <c r="AH77" s="11"/>
      <c r="AI77" s="8">
        <v>22907.19</v>
      </c>
      <c r="AJ77" s="9"/>
      <c r="AK77" s="10"/>
      <c r="AL77" s="25"/>
      <c r="AM77" s="25"/>
      <c r="AN77" s="25"/>
      <c r="AO77" s="10"/>
      <c r="AP77" s="12">
        <v>25874.2</v>
      </c>
      <c r="AQ77" s="12"/>
      <c r="AR77" s="12"/>
      <c r="AS77" s="242"/>
      <c r="AT77" s="243"/>
      <c r="AU77" s="242"/>
      <c r="AV77" s="242"/>
      <c r="AW77" s="244"/>
      <c r="AX77" s="243" t="s">
        <v>630</v>
      </c>
      <c r="AY77" s="243" t="s">
        <v>630</v>
      </c>
      <c r="AZ77" s="15">
        <v>25874.2</v>
      </c>
      <c r="BA77" s="15">
        <v>22907.19</v>
      </c>
      <c r="BB77" s="15">
        <v>25874.2</v>
      </c>
      <c r="BC77" s="15">
        <v>22907.19</v>
      </c>
      <c r="BD77" s="242">
        <v>0</v>
      </c>
      <c r="BE77" s="242">
        <v>0</v>
      </c>
      <c r="BF77" s="242"/>
      <c r="BG77" s="242">
        <v>2</v>
      </c>
      <c r="BH77" s="242">
        <v>0</v>
      </c>
      <c r="BI77" s="242">
        <v>0</v>
      </c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 t="s">
        <v>634</v>
      </c>
      <c r="BW77" s="242">
        <v>0</v>
      </c>
      <c r="BX77" s="242">
        <v>0</v>
      </c>
      <c r="BY77" s="242">
        <v>0</v>
      </c>
      <c r="BZ77" s="242">
        <v>0</v>
      </c>
      <c r="CA77" s="242">
        <v>0</v>
      </c>
      <c r="CB77" s="243" t="s">
        <v>633</v>
      </c>
      <c r="CC77" s="248">
        <v>22907.19</v>
      </c>
      <c r="CD77" s="248">
        <v>22907.19</v>
      </c>
      <c r="CE77" s="248">
        <v>25874.2</v>
      </c>
      <c r="CF77" s="248">
        <v>0</v>
      </c>
    </row>
    <row r="78" spans="1:84" x14ac:dyDescent="0.25">
      <c r="A78" s="254" t="s">
        <v>778</v>
      </c>
      <c r="B78" s="255" t="s">
        <v>759</v>
      </c>
      <c r="C78" s="255" t="s">
        <v>636</v>
      </c>
      <c r="D78" s="233"/>
      <c r="E78" s="234">
        <v>9009.56</v>
      </c>
      <c r="F78" s="235">
        <v>9009.56</v>
      </c>
      <c r="G78" s="256"/>
      <c r="H78" s="257"/>
      <c r="I78" s="237"/>
      <c r="J78" s="238">
        <v>9009.56</v>
      </c>
      <c r="K78" s="239"/>
      <c r="L78" s="240"/>
      <c r="M78" s="8">
        <v>8440.39</v>
      </c>
      <c r="N78" s="241">
        <v>8440.39</v>
      </c>
      <c r="O78" s="71"/>
      <c r="P78" s="100"/>
      <c r="Q78" s="9"/>
      <c r="R78" s="9"/>
      <c r="S78" s="9"/>
      <c r="T78" s="258">
        <v>46022</v>
      </c>
      <c r="U78" s="10"/>
      <c r="V78" s="23"/>
      <c r="W78" s="11"/>
      <c r="X78" s="8">
        <v>8440.39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8440.39</v>
      </c>
      <c r="AJ78" s="9"/>
      <c r="AK78" s="10"/>
      <c r="AL78" s="25"/>
      <c r="AM78" s="25"/>
      <c r="AN78" s="25"/>
      <c r="AO78" s="10"/>
      <c r="AP78" s="12">
        <v>9009.56</v>
      </c>
      <c r="AQ78" s="12"/>
      <c r="AR78" s="12"/>
      <c r="AS78" s="242"/>
      <c r="AT78" s="243"/>
      <c r="AU78" s="242"/>
      <c r="AV78" s="242"/>
      <c r="AW78" s="244"/>
      <c r="AX78" s="243" t="s">
        <v>630</v>
      </c>
      <c r="AY78" s="243" t="s">
        <v>630</v>
      </c>
      <c r="AZ78" s="15">
        <v>9009.56</v>
      </c>
      <c r="BA78" s="15">
        <v>8440.39</v>
      </c>
      <c r="BB78" s="15">
        <v>9009.56</v>
      </c>
      <c r="BC78" s="15">
        <v>8440.39</v>
      </c>
      <c r="BD78" s="242">
        <v>0</v>
      </c>
      <c r="BE78" s="242">
        <v>0</v>
      </c>
      <c r="BF78" s="242"/>
      <c r="BG78" s="242">
        <v>2</v>
      </c>
      <c r="BH78" s="242">
        <v>0</v>
      </c>
      <c r="BI78" s="242">
        <v>0</v>
      </c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 t="s">
        <v>634</v>
      </c>
      <c r="BW78" s="242">
        <v>0</v>
      </c>
      <c r="BX78" s="242">
        <v>0</v>
      </c>
      <c r="BY78" s="242">
        <v>0</v>
      </c>
      <c r="BZ78" s="242">
        <v>0</v>
      </c>
      <c r="CA78" s="242">
        <v>0</v>
      </c>
      <c r="CB78" s="243" t="s">
        <v>633</v>
      </c>
      <c r="CC78" s="248">
        <v>8440.39</v>
      </c>
      <c r="CD78" s="248">
        <v>8440.39</v>
      </c>
      <c r="CE78" s="248">
        <v>9009.56</v>
      </c>
      <c r="CF78" s="248">
        <v>0</v>
      </c>
    </row>
    <row r="79" spans="1:84" x14ac:dyDescent="0.25">
      <c r="A79" s="254" t="s">
        <v>779</v>
      </c>
      <c r="B79" s="255" t="s">
        <v>761</v>
      </c>
      <c r="C79" s="255" t="s">
        <v>636</v>
      </c>
      <c r="D79" s="233"/>
      <c r="E79" s="234">
        <v>2034.2</v>
      </c>
      <c r="F79" s="235">
        <v>2034.2</v>
      </c>
      <c r="G79" s="256"/>
      <c r="H79" s="257"/>
      <c r="I79" s="237"/>
      <c r="J79" s="238">
        <v>2034.2</v>
      </c>
      <c r="K79" s="239"/>
      <c r="L79" s="240"/>
      <c r="M79" s="8">
        <v>1895.86</v>
      </c>
      <c r="N79" s="241">
        <v>1895.86</v>
      </c>
      <c r="O79" s="71"/>
      <c r="P79" s="100"/>
      <c r="Q79" s="9"/>
      <c r="R79" s="9"/>
      <c r="S79" s="9"/>
      <c r="T79" s="258">
        <v>46022</v>
      </c>
      <c r="U79" s="10"/>
      <c r="V79" s="23"/>
      <c r="W79" s="11"/>
      <c r="X79" s="8">
        <v>1895.86</v>
      </c>
      <c r="Y79" s="9"/>
      <c r="Z79" s="9"/>
      <c r="AA79" s="9"/>
      <c r="AB79" s="10"/>
      <c r="AC79" s="24">
        <v>0</v>
      </c>
      <c r="AD79" s="11">
        <v>0</v>
      </c>
      <c r="AE79" s="8">
        <v>0</v>
      </c>
      <c r="AF79" s="9"/>
      <c r="AG79" s="10"/>
      <c r="AH79" s="11"/>
      <c r="AI79" s="8">
        <v>1895.86</v>
      </c>
      <c r="AJ79" s="9"/>
      <c r="AK79" s="10"/>
      <c r="AL79" s="25"/>
      <c r="AM79" s="25"/>
      <c r="AN79" s="25"/>
      <c r="AO79" s="10"/>
      <c r="AP79" s="12">
        <v>2034.2</v>
      </c>
      <c r="AQ79" s="12"/>
      <c r="AR79" s="12"/>
      <c r="AS79" s="242"/>
      <c r="AT79" s="243"/>
      <c r="AU79" s="242"/>
      <c r="AV79" s="242"/>
      <c r="AW79" s="244"/>
      <c r="AX79" s="243" t="s">
        <v>630</v>
      </c>
      <c r="AY79" s="243" t="s">
        <v>630</v>
      </c>
      <c r="AZ79" s="15">
        <v>2034.2</v>
      </c>
      <c r="BA79" s="15">
        <v>1895.86</v>
      </c>
      <c r="BB79" s="15">
        <v>2034.2</v>
      </c>
      <c r="BC79" s="15">
        <v>1895.86</v>
      </c>
      <c r="BD79" s="242">
        <v>0</v>
      </c>
      <c r="BE79" s="242">
        <v>0</v>
      </c>
      <c r="BF79" s="242"/>
      <c r="BG79" s="242">
        <v>2</v>
      </c>
      <c r="BH79" s="242">
        <v>0</v>
      </c>
      <c r="BI79" s="242">
        <v>0</v>
      </c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 t="s">
        <v>634</v>
      </c>
      <c r="BW79" s="242">
        <v>0</v>
      </c>
      <c r="BX79" s="242">
        <v>0</v>
      </c>
      <c r="BY79" s="242">
        <v>0</v>
      </c>
      <c r="BZ79" s="242">
        <v>0</v>
      </c>
      <c r="CA79" s="242">
        <v>0</v>
      </c>
      <c r="CB79" s="243" t="s">
        <v>633</v>
      </c>
      <c r="CC79" s="248">
        <v>1895.86</v>
      </c>
      <c r="CD79" s="248">
        <v>1895.86</v>
      </c>
      <c r="CE79" s="248">
        <v>2034.2</v>
      </c>
      <c r="CF79" s="248">
        <v>0</v>
      </c>
    </row>
    <row r="80" spans="1:84" x14ac:dyDescent="0.25">
      <c r="A80" s="254"/>
      <c r="B80" s="93" t="s">
        <v>780</v>
      </c>
      <c r="C80" s="255"/>
      <c r="D80" s="233"/>
      <c r="E80" s="279">
        <f>SUM(E27:E79)</f>
        <v>39990449.800000004</v>
      </c>
      <c r="F80" s="268">
        <f>SUM(F27:F79)</f>
        <v>40080384.290000007</v>
      </c>
      <c r="G80" s="256"/>
      <c r="H80" s="257"/>
      <c r="I80" s="237"/>
      <c r="J80" s="280">
        <f>SUM(J27:J79)</f>
        <v>40115326.800000004</v>
      </c>
      <c r="K80" s="239"/>
      <c r="L80" s="240"/>
      <c r="M80" s="272">
        <f>SUM(M27:M79)</f>
        <v>34778447.979999982</v>
      </c>
      <c r="N80" s="281">
        <f>SUM(N27:N79)</f>
        <v>34766355.039999984</v>
      </c>
      <c r="O80" s="71"/>
      <c r="P80" s="100"/>
      <c r="Q80" s="270">
        <f>SUM(Q27:Q79)</f>
        <v>0</v>
      </c>
      <c r="R80" s="270">
        <f>SUM(R27:R79)</f>
        <v>0</v>
      </c>
      <c r="S80" s="270">
        <f>SUM(S27:S79)</f>
        <v>0</v>
      </c>
      <c r="T80" s="258"/>
      <c r="U80" s="10"/>
      <c r="V80" s="23"/>
      <c r="W80" s="271">
        <f>SUM(W27:W79)</f>
        <v>0</v>
      </c>
      <c r="X80" s="272">
        <f>SUM(X27:X79)</f>
        <v>34532756.459999986</v>
      </c>
      <c r="Y80" s="270">
        <f>SUM(Y27:Y79)</f>
        <v>0</v>
      </c>
      <c r="Z80" s="270">
        <f>SUM(Z27:Z79)</f>
        <v>0</v>
      </c>
      <c r="AA80" s="270">
        <f>SUM(AA27:AA79)</f>
        <v>0</v>
      </c>
      <c r="AB80" s="10"/>
      <c r="AC80" s="24"/>
      <c r="AD80" s="271">
        <f>SUM(AD27:AD79)</f>
        <v>0</v>
      </c>
      <c r="AE80" s="272">
        <f>SUM(AE27:AE79)</f>
        <v>30166407.670000002</v>
      </c>
      <c r="AF80" s="270">
        <f>SUM(AF27:AF79)</f>
        <v>0</v>
      </c>
      <c r="AG80" s="10"/>
      <c r="AH80" s="271">
        <f>SUM(AH27:AH79)</f>
        <v>0</v>
      </c>
      <c r="AI80" s="272">
        <f>SUM(AI27:AI79)</f>
        <v>4366348.790000001</v>
      </c>
      <c r="AJ80" s="270">
        <f>SUM(AJ27:AJ79)</f>
        <v>0</v>
      </c>
      <c r="AK80" s="10"/>
      <c r="AL80" s="283">
        <f>SUM(AL27:AL79)</f>
        <v>0</v>
      </c>
      <c r="AM80" s="283">
        <f>SUM(AM27:AM79)</f>
        <v>0</v>
      </c>
      <c r="AN80" s="283">
        <f>SUM(AN27:AN79)</f>
        <v>0</v>
      </c>
      <c r="AO80" s="10"/>
      <c r="AP80" s="284">
        <f>SUM(AP27:AP79)</f>
        <v>39531643.240000002</v>
      </c>
      <c r="AQ80" s="284">
        <f>SUM(AQ27:AQ79)</f>
        <v>0</v>
      </c>
      <c r="AR80" s="284">
        <f>SUM(AR27:AR79)</f>
        <v>0</v>
      </c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93" t="s">
        <v>781</v>
      </c>
      <c r="C82" s="255"/>
      <c r="D82" s="233"/>
      <c r="E82" s="279">
        <f>SUM(E7:E81)/2</f>
        <v>95799552.299999997</v>
      </c>
      <c r="F82" s="268">
        <f>SUM(F7:F81)/2</f>
        <v>97209438.590000004</v>
      </c>
      <c r="G82" s="256"/>
      <c r="H82" s="257"/>
      <c r="I82" s="237"/>
      <c r="J82" s="280">
        <f>SUM(J7:J81)/2</f>
        <v>96968130.900000006</v>
      </c>
      <c r="K82" s="239"/>
      <c r="L82" s="240"/>
      <c r="M82" s="272">
        <f>SUM(M7:M81)/2</f>
        <v>86653862.340000004</v>
      </c>
      <c r="N82" s="281">
        <f>SUM(N7:N81)/2</f>
        <v>87204659.140000015</v>
      </c>
      <c r="O82" s="71"/>
      <c r="P82" s="100"/>
      <c r="Q82" s="270">
        <f>SUM(Q7:Q81)/2</f>
        <v>0</v>
      </c>
      <c r="R82" s="270">
        <f>SUM(R7:R81)/2</f>
        <v>0</v>
      </c>
      <c r="S82" s="270">
        <f>SUM(S7:S81)/2</f>
        <v>0</v>
      </c>
      <c r="T82" s="258"/>
      <c r="U82" s="10"/>
      <c r="V82" s="23"/>
      <c r="W82" s="271">
        <f>SUM(W7:W81)/2</f>
        <v>0</v>
      </c>
      <c r="X82" s="272">
        <f>SUM(X7:X81)/2</f>
        <v>66236372.979999989</v>
      </c>
      <c r="Y82" s="270">
        <f>SUM(Y7:Y81)/2</f>
        <v>0</v>
      </c>
      <c r="Z82" s="270">
        <f>SUM(Z7:Z81)/2</f>
        <v>0</v>
      </c>
      <c r="AA82" s="270">
        <f>SUM(AA7:AA81)/2</f>
        <v>0</v>
      </c>
      <c r="AB82" s="10"/>
      <c r="AC82" s="24"/>
      <c r="AD82" s="271">
        <f>SUM(AD7:AD81)/2</f>
        <v>0</v>
      </c>
      <c r="AE82" s="272">
        <f>SUM(AE7:AE81)/2</f>
        <v>40071835.620000005</v>
      </c>
      <c r="AF82" s="270">
        <f>SUM(AF7:AF81)/2</f>
        <v>0</v>
      </c>
      <c r="AG82" s="10"/>
      <c r="AH82" s="271">
        <f>SUM(AH7:AH81)/2</f>
        <v>0</v>
      </c>
      <c r="AI82" s="272">
        <f>SUM(AI7:AI81)/2</f>
        <v>26164537.359999988</v>
      </c>
      <c r="AJ82" s="270">
        <f>SUM(AJ7:AJ81)/2</f>
        <v>0</v>
      </c>
      <c r="AK82" s="10"/>
      <c r="AL82" s="283">
        <f>SUM(AL7:AL81)/2</f>
        <v>0</v>
      </c>
      <c r="AM82" s="283">
        <f>SUM(AM7:AM81)/2</f>
        <v>0</v>
      </c>
      <c r="AN82" s="283">
        <f>SUM(AN7:AN81)/2</f>
        <v>0</v>
      </c>
      <c r="AO82" s="10"/>
      <c r="AP82" s="284">
        <f>SUM(AP7:AP81)/2</f>
        <v>72978791.530000001</v>
      </c>
      <c r="AQ82" s="284">
        <f>SUM(AQ7:AQ81)/2</f>
        <v>0</v>
      </c>
      <c r="AR82" s="284">
        <f>SUM(AR7:AR81)/2</f>
        <v>0</v>
      </c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300"/>
      <c r="B84" s="299" t="s">
        <v>638</v>
      </c>
      <c r="C84" s="93"/>
      <c r="D84" s="267"/>
      <c r="E84" s="279">
        <f>SUMIF(BG8:BG84,1, E8:E84)</f>
        <v>55809102.5</v>
      </c>
      <c r="F84" s="268">
        <f>SUMIF(BG8:BG84,1, F8:F84)</f>
        <v>57129054.299999997</v>
      </c>
      <c r="G84" s="301"/>
      <c r="H84" s="113"/>
      <c r="I84" s="104"/>
      <c r="J84" s="280">
        <f>SUMIF(BG8:BG84,1, J8:J84)</f>
        <v>56852804.099999994</v>
      </c>
      <c r="K84" s="288"/>
      <c r="L84" s="98"/>
      <c r="M84" s="272">
        <f>SUMIF(BG8:BG84,1, M8:M84)</f>
        <v>51875414.359999999</v>
      </c>
      <c r="N84" s="281">
        <f>SUMIF(BG8:BG84,1, N8:N84)</f>
        <v>52438304.099999994</v>
      </c>
      <c r="O84" s="289"/>
      <c r="P84" s="99"/>
      <c r="Q84" s="270">
        <f>SUMIF(BG8:BG84,1, Q8:Q84)</f>
        <v>0</v>
      </c>
      <c r="R84" s="270">
        <f>SUMIF(BG8:BG84,1, R8:R84)</f>
        <v>0</v>
      </c>
      <c r="S84" s="270">
        <f>SUMIF(BG8:BG84,1, S8:S84)</f>
        <v>0</v>
      </c>
      <c r="T84" s="302"/>
      <c r="U84" s="291"/>
      <c r="V84" s="292"/>
      <c r="W84" s="271">
        <f>SUMIF(BG8:BG84,1, W8:W84)</f>
        <v>0</v>
      </c>
      <c r="X84" s="272">
        <f>SUMIF(BG8:BG84,1, X8:X84)</f>
        <v>31703616.52</v>
      </c>
      <c r="Y84" s="270">
        <f>SUMIF(BG8:BG84,1, Y8:Y84)</f>
        <v>0</v>
      </c>
      <c r="Z84" s="270">
        <f>SUMIF(BG8:BG84,1, Z8:Z84)</f>
        <v>0</v>
      </c>
      <c r="AA84" s="270">
        <f>SUMIF(BG8:BG84,1, AA8:AA84)</f>
        <v>0</v>
      </c>
      <c r="AB84" s="291"/>
      <c r="AC84" s="293"/>
      <c r="AD84" s="271">
        <f>SUMIF(BG8:BG84,1, AD8:AD84)</f>
        <v>0</v>
      </c>
      <c r="AE84" s="272">
        <f>SUMIF(BG8:BG84,1, AE8:AE84)</f>
        <v>9905427.9499999974</v>
      </c>
      <c r="AF84" s="270">
        <f>SUMIF(BG8:BG84,1, AF8:AF84)</f>
        <v>0</v>
      </c>
      <c r="AG84" s="291"/>
      <c r="AH84" s="271">
        <f>SUMIF(BG8:BG84,1, AH8:AH84)</f>
        <v>0</v>
      </c>
      <c r="AI84" s="272">
        <f>SUMIF(BG8:BG84,1, AI8:AI84)</f>
        <v>21798188.57</v>
      </c>
      <c r="AJ84" s="270">
        <f>SUMIF(BG8:BG84,1, AJ8:AJ84)</f>
        <v>0</v>
      </c>
      <c r="AK84" s="291"/>
      <c r="AL84" s="283">
        <f>SUMIF(BG8:BG84,1, AL8:AL84)</f>
        <v>0</v>
      </c>
      <c r="AM84" s="283">
        <f>SUMIF(BG8:BG84,1, AM8:AM84)</f>
        <v>0</v>
      </c>
      <c r="AN84" s="283">
        <f>SUMIF(BG8:BG84,1, AN8:AN84)</f>
        <v>0</v>
      </c>
      <c r="AO84" s="291"/>
      <c r="AP84" s="284">
        <f>SUMIF(BG8:BG84,1, AP8:AP84)</f>
        <v>33447148.289999999</v>
      </c>
      <c r="AQ84" s="284">
        <f>SUMIF(BG8:BG84,1, AQ8:AQ84)</f>
        <v>0</v>
      </c>
      <c r="AR84" s="284">
        <f>SUMIF(BG8:BG84,1, AR8:AR84)</f>
        <v>0</v>
      </c>
      <c r="AS84" s="15"/>
      <c r="AT84" s="274"/>
      <c r="AU84" s="15"/>
      <c r="AV84" s="15"/>
      <c r="AW84" s="275"/>
      <c r="AX84" s="274"/>
      <c r="AY84" s="274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298"/>
      <c r="BO84" s="298"/>
      <c r="BP84" s="298"/>
      <c r="BQ84" s="298"/>
      <c r="BR84" s="294"/>
      <c r="BS84" s="294"/>
      <c r="BT84" s="15"/>
      <c r="BU84" s="15"/>
      <c r="BV84" s="276"/>
      <c r="BW84" s="15"/>
      <c r="BX84" s="15"/>
      <c r="BY84" s="15"/>
      <c r="BZ84" s="15"/>
      <c r="CA84" s="15"/>
      <c r="CB84" s="274"/>
      <c r="CC84" s="277"/>
      <c r="CD84" s="277"/>
      <c r="CE84" s="277"/>
      <c r="CF84" s="277"/>
    </row>
    <row r="85" spans="1:84" x14ac:dyDescent="0.25">
      <c r="A85" s="300"/>
      <c r="B85" s="299" t="s">
        <v>639</v>
      </c>
      <c r="C85" s="93"/>
      <c r="D85" s="267"/>
      <c r="E85" s="279">
        <f>SUMIF(BG8:BG84,2, E8:E84)</f>
        <v>39990449.800000004</v>
      </c>
      <c r="F85" s="268">
        <f>SUMIF(BG8:BG84,2, F8:F84)</f>
        <v>40080384.290000007</v>
      </c>
      <c r="G85" s="301"/>
      <c r="H85" s="113"/>
      <c r="I85" s="104"/>
      <c r="J85" s="280">
        <f>SUMIF(BG8:BG84,2, J8:J84)</f>
        <v>40115326.800000004</v>
      </c>
      <c r="K85" s="288"/>
      <c r="L85" s="98"/>
      <c r="M85" s="272">
        <f>SUMIF(BG8:BG84,2, M8:M84)</f>
        <v>34778447.979999982</v>
      </c>
      <c r="N85" s="281">
        <f>SUMIF(BG8:BG84,2, N8:N84)</f>
        <v>34766355.039999984</v>
      </c>
      <c r="O85" s="289"/>
      <c r="P85" s="99"/>
      <c r="Q85" s="270">
        <f>SUMIF(BG8:BG84,2, Q8:Q84)</f>
        <v>0</v>
      </c>
      <c r="R85" s="270">
        <f>SUMIF(BG8:BG84,2, R8:R84)</f>
        <v>0</v>
      </c>
      <c r="S85" s="270">
        <f>SUMIF(BG8:BG84,2, S8:S84)</f>
        <v>0</v>
      </c>
      <c r="T85" s="302"/>
      <c r="U85" s="291"/>
      <c r="V85" s="292"/>
      <c r="W85" s="271">
        <f>SUMIF(BG8:BG84,2, W8:W84)</f>
        <v>0</v>
      </c>
      <c r="X85" s="272">
        <f>SUMIF(BG8:BG84,2, X8:X84)</f>
        <v>34532756.459999986</v>
      </c>
      <c r="Y85" s="270">
        <f>SUMIF(BG8:BG84,2, Y8:Y84)</f>
        <v>0</v>
      </c>
      <c r="Z85" s="270">
        <f>SUMIF(BG8:BG84,2, Z8:Z84)</f>
        <v>0</v>
      </c>
      <c r="AA85" s="270">
        <f>SUMIF(BG8:BG84,2, AA8:AA84)</f>
        <v>0</v>
      </c>
      <c r="AB85" s="291"/>
      <c r="AC85" s="293"/>
      <c r="AD85" s="271">
        <f>SUMIF(BG8:BG84,2, AD8:AD84)</f>
        <v>0</v>
      </c>
      <c r="AE85" s="272">
        <f>SUMIF(BG8:BG84,2, AE8:AE84)</f>
        <v>30166407.670000002</v>
      </c>
      <c r="AF85" s="270">
        <f>SUMIF(BG8:BG84,2, AF8:AF84)</f>
        <v>0</v>
      </c>
      <c r="AG85" s="291"/>
      <c r="AH85" s="271">
        <f>SUMIF(BG8:BG84,2, AH8:AH84)</f>
        <v>0</v>
      </c>
      <c r="AI85" s="272">
        <f>SUMIF(BG8:BG84,2, AI8:AI84)</f>
        <v>4366348.790000001</v>
      </c>
      <c r="AJ85" s="270">
        <f>SUMIF(BG8:BG84,2, AJ8:AJ84)</f>
        <v>0</v>
      </c>
      <c r="AK85" s="291"/>
      <c r="AL85" s="283">
        <f>SUMIF(BG8:BG84,2, AL8:AL84)</f>
        <v>0</v>
      </c>
      <c r="AM85" s="283">
        <f>SUMIF(BG8:BG84,2, AM8:AM84)</f>
        <v>0</v>
      </c>
      <c r="AN85" s="283">
        <f>SUMIF(BG8:BG84,2, AN8:AN84)</f>
        <v>0</v>
      </c>
      <c r="AO85" s="291"/>
      <c r="AP85" s="284">
        <f>SUMIF(BG8:BG84,2, AP8:AP84)</f>
        <v>39531643.240000002</v>
      </c>
      <c r="AQ85" s="284">
        <f>SUMIF(BG8:BG84,2, AQ8:AQ84)</f>
        <v>0</v>
      </c>
      <c r="AR85" s="284">
        <f>SUMIF(BG8:BG84,2, AR8:AR84)</f>
        <v>0</v>
      </c>
      <c r="AS85" s="15"/>
      <c r="AT85" s="274"/>
      <c r="AU85" s="15"/>
      <c r="AV85" s="15"/>
      <c r="AW85" s="275"/>
      <c r="AX85" s="274"/>
      <c r="AY85" s="274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298"/>
      <c r="BO85" s="298"/>
      <c r="BP85" s="298"/>
      <c r="BQ85" s="298"/>
      <c r="BR85" s="294"/>
      <c r="BS85" s="294"/>
      <c r="BT85" s="15"/>
      <c r="BU85" s="15"/>
      <c r="BV85" s="276"/>
      <c r="BW85" s="15"/>
      <c r="BX85" s="15"/>
      <c r="BY85" s="15"/>
      <c r="BZ85" s="15"/>
      <c r="CA85" s="15"/>
      <c r="CB85" s="274"/>
      <c r="CC85" s="277"/>
      <c r="CD85" s="277"/>
      <c r="CE85" s="277"/>
      <c r="CF85" s="277"/>
    </row>
    <row r="86" spans="1:84" x14ac:dyDescent="0.25">
      <c r="A86" s="300"/>
      <c r="B86" s="299" t="s">
        <v>637</v>
      </c>
      <c r="C86" s="93"/>
      <c r="D86" s="267"/>
      <c r="E86" s="279">
        <f>SUM(E8:E85)/4</f>
        <v>95799552.299999997</v>
      </c>
      <c r="F86" s="268">
        <f>SUM(F8:F85)/4</f>
        <v>97209438.590000004</v>
      </c>
      <c r="G86" s="301"/>
      <c r="H86" s="113"/>
      <c r="I86" s="104"/>
      <c r="J86" s="280">
        <f>SUM(J8:J85)/4</f>
        <v>96968130.900000021</v>
      </c>
      <c r="K86" s="288"/>
      <c r="L86" s="98"/>
      <c r="M86" s="272">
        <f>SUM(M8:M85)/4</f>
        <v>86653862.339999989</v>
      </c>
      <c r="N86" s="281">
        <f>SUM(N8:N85)/4</f>
        <v>87204659.140000001</v>
      </c>
      <c r="O86" s="289"/>
      <c r="P86" s="99"/>
      <c r="Q86" s="270">
        <f>SUM(Q8:Q85)/4</f>
        <v>0</v>
      </c>
      <c r="R86" s="270">
        <f>SUM(R8:R85)/4</f>
        <v>0</v>
      </c>
      <c r="S86" s="270">
        <f>SUM(S8:S85)/4</f>
        <v>0</v>
      </c>
      <c r="T86" s="302"/>
      <c r="U86" s="291"/>
      <c r="V86" s="292"/>
      <c r="W86" s="271">
        <f>SUM(W8:W85)/4</f>
        <v>0</v>
      </c>
      <c r="X86" s="272">
        <f>SUM(X8:X85)/4</f>
        <v>66236372.979999989</v>
      </c>
      <c r="Y86" s="270">
        <f>SUM(Y8:Y85)/4</f>
        <v>0</v>
      </c>
      <c r="Z86" s="270">
        <f>SUM(Z8:Z85)/4</f>
        <v>0</v>
      </c>
      <c r="AA86" s="270">
        <f>SUM(AA8:AA85)/4</f>
        <v>0</v>
      </c>
      <c r="AB86" s="291"/>
      <c r="AC86" s="293"/>
      <c r="AD86" s="271">
        <f>SUM(AD8:AD85)/4</f>
        <v>0</v>
      </c>
      <c r="AE86" s="272">
        <f>SUM(AE8:AE85)/4</f>
        <v>40071835.620000005</v>
      </c>
      <c r="AF86" s="270">
        <f>SUM(AF8:AF85)/4</f>
        <v>0</v>
      </c>
      <c r="AG86" s="291"/>
      <c r="AH86" s="271">
        <f>SUM(AH8:AH85)/4</f>
        <v>0</v>
      </c>
      <c r="AI86" s="272">
        <f>SUM(AI8:AI85)/4</f>
        <v>26164537.359999996</v>
      </c>
      <c r="AJ86" s="270">
        <f>SUM(AJ8:AJ85)/4</f>
        <v>0</v>
      </c>
      <c r="AK86" s="291"/>
      <c r="AL86" s="283">
        <f>SUM(AL8:AL85)/4</f>
        <v>0</v>
      </c>
      <c r="AM86" s="283">
        <f>SUM(AM8:AM85)/4</f>
        <v>0</v>
      </c>
      <c r="AN86" s="283">
        <f>SUM(AN8:AN85)/4</f>
        <v>0</v>
      </c>
      <c r="AO86" s="291"/>
      <c r="AP86" s="284">
        <f>SUM(AP8:AP85)/4</f>
        <v>72978791.530000001</v>
      </c>
      <c r="AQ86" s="284">
        <f>SUM(AQ8:AQ85)/4</f>
        <v>0</v>
      </c>
      <c r="AR86" s="284">
        <f>SUM(AR8:AR85)/4</f>
        <v>0</v>
      </c>
      <c r="AS86" s="15"/>
      <c r="AT86" s="274"/>
      <c r="AU86" s="15"/>
      <c r="AV86" s="15"/>
      <c r="AW86" s="275"/>
      <c r="AX86" s="274"/>
      <c r="AY86" s="274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298"/>
      <c r="BO86" s="298"/>
      <c r="BP86" s="298"/>
      <c r="BQ86" s="298"/>
      <c r="BR86" s="294"/>
      <c r="BS86" s="294"/>
      <c r="BT86" s="15"/>
      <c r="BU86" s="15"/>
      <c r="BV86" s="276"/>
      <c r="BW86" s="15"/>
      <c r="BX86" s="15"/>
      <c r="BY86" s="15"/>
      <c r="BZ86" s="15"/>
      <c r="CA86" s="15"/>
      <c r="CB86" s="274"/>
      <c r="CC86" s="277"/>
      <c r="CD86" s="277"/>
      <c r="CE86" s="277"/>
      <c r="CF86" s="277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LTsPxmuoVXElm92FUgziP70BOWv5Dhe7rRZ+32YpeIM9LtDELEqdlaGDnMTYeiiwVQOz7K25H57RP+DJir+zOQ==" saltValue="Ax/PZqNF+xeHkhFSO/mLl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5"/>
      <c r="B25" s="278"/>
      <c r="C25" s="266"/>
      <c r="D25" s="267"/>
      <c r="E25" s="268"/>
      <c r="F25" s="269"/>
      <c r="G25" s="268"/>
      <c r="H25" s="269"/>
      <c r="I25" s="268"/>
      <c r="J25" s="270"/>
      <c r="K25" s="270"/>
      <c r="L25" s="270"/>
      <c r="M25" s="15"/>
      <c r="N25" s="270"/>
      <c r="O25" s="270"/>
      <c r="P25" s="270"/>
      <c r="Q25" s="15"/>
      <c r="R25" s="271"/>
      <c r="S25" s="271"/>
      <c r="T25" s="271"/>
      <c r="U25" s="272"/>
      <c r="V25" s="272"/>
      <c r="W25" s="272"/>
      <c r="X25" s="270"/>
      <c r="Y25" s="270"/>
      <c r="Z25" s="270"/>
      <c r="AA25" s="273"/>
      <c r="AB25" s="274"/>
      <c r="AC25" s="15"/>
      <c r="AD25" s="15"/>
      <c r="AE25" s="275"/>
      <c r="AF25" s="274"/>
      <c r="AG25" s="274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276"/>
      <c r="BE25" s="15"/>
      <c r="BF25" s="15"/>
      <c r="BG25" s="15"/>
      <c r="BH25" s="15"/>
      <c r="BI25" s="15"/>
      <c r="BJ25" s="274"/>
      <c r="BK25" s="277"/>
      <c r="BL25" s="277"/>
      <c r="BM25" s="277"/>
      <c r="BN25" s="277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5"/>
      <c r="B27" s="278"/>
      <c r="C27" s="266"/>
      <c r="D27" s="267"/>
      <c r="E27" s="268"/>
      <c r="F27" s="269"/>
      <c r="G27" s="268"/>
      <c r="H27" s="269"/>
      <c r="I27" s="268"/>
      <c r="J27" s="270"/>
      <c r="K27" s="270"/>
      <c r="L27" s="270"/>
      <c r="M27" s="15"/>
      <c r="N27" s="270"/>
      <c r="O27" s="270"/>
      <c r="P27" s="270"/>
      <c r="Q27" s="15"/>
      <c r="R27" s="271"/>
      <c r="S27" s="271"/>
      <c r="T27" s="271"/>
      <c r="U27" s="272"/>
      <c r="V27" s="272"/>
      <c r="W27" s="272"/>
      <c r="X27" s="270"/>
      <c r="Y27" s="270"/>
      <c r="Z27" s="270"/>
      <c r="AA27" s="273"/>
      <c r="AB27" s="274"/>
      <c r="AC27" s="15"/>
      <c r="AD27" s="15"/>
      <c r="AE27" s="275"/>
      <c r="AF27" s="274"/>
      <c r="AG27" s="274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276"/>
      <c r="BE27" s="15"/>
      <c r="BF27" s="15"/>
      <c r="BG27" s="15"/>
      <c r="BH27" s="15"/>
      <c r="BI27" s="15"/>
      <c r="BJ27" s="274"/>
      <c r="BK27" s="277"/>
      <c r="BL27" s="277"/>
      <c r="BM27" s="277"/>
      <c r="BN27" s="277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5"/>
      <c r="B80" s="266"/>
      <c r="C80" s="266"/>
      <c r="D80" s="267"/>
      <c r="E80" s="268"/>
      <c r="F80" s="269"/>
      <c r="G80" s="268"/>
      <c r="H80" s="269"/>
      <c r="I80" s="268"/>
      <c r="J80" s="270"/>
      <c r="K80" s="270"/>
      <c r="L80" s="270"/>
      <c r="M80" s="15"/>
      <c r="N80" s="270"/>
      <c r="O80" s="270"/>
      <c r="P80" s="270"/>
      <c r="Q80" s="15"/>
      <c r="R80" s="271"/>
      <c r="S80" s="271"/>
      <c r="T80" s="271"/>
      <c r="U80" s="272"/>
      <c r="V80" s="272"/>
      <c r="W80" s="272"/>
      <c r="X80" s="270"/>
      <c r="Y80" s="270"/>
      <c r="Z80" s="270"/>
      <c r="AA80" s="273"/>
      <c r="AB80" s="274"/>
      <c r="AC80" s="15"/>
      <c r="AD80" s="15"/>
      <c r="AE80" s="275"/>
      <c r="AF80" s="274"/>
      <c r="AG80" s="274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276"/>
      <c r="BE80" s="15"/>
      <c r="BF80" s="15"/>
      <c r="BG80" s="15"/>
      <c r="BH80" s="15"/>
      <c r="BI80" s="15"/>
      <c r="BJ80" s="274"/>
      <c r="BK80" s="277"/>
      <c r="BL80" s="277"/>
      <c r="BM80" s="277"/>
      <c r="BN80" s="277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5"/>
      <c r="B82" s="266"/>
      <c r="C82" s="266"/>
      <c r="D82" s="267"/>
      <c r="E82" s="268"/>
      <c r="F82" s="269"/>
      <c r="G82" s="268"/>
      <c r="H82" s="269"/>
      <c r="I82" s="268"/>
      <c r="J82" s="270"/>
      <c r="K82" s="270"/>
      <c r="L82" s="270"/>
      <c r="M82" s="15"/>
      <c r="N82" s="270"/>
      <c r="O82" s="270"/>
      <c r="P82" s="270"/>
      <c r="Q82" s="15"/>
      <c r="R82" s="271"/>
      <c r="S82" s="271"/>
      <c r="T82" s="271"/>
      <c r="U82" s="272"/>
      <c r="V82" s="272"/>
      <c r="W82" s="272"/>
      <c r="X82" s="270"/>
      <c r="Y82" s="270"/>
      <c r="Z82" s="270"/>
      <c r="AA82" s="273"/>
      <c r="AB82" s="274"/>
      <c r="AC82" s="15"/>
      <c r="AD82" s="15"/>
      <c r="AE82" s="275"/>
      <c r="AF82" s="274"/>
      <c r="AG82" s="274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276"/>
      <c r="BE82" s="15"/>
      <c r="BF82" s="15"/>
      <c r="BG82" s="15"/>
      <c r="BH82" s="15"/>
      <c r="BI82" s="15"/>
      <c r="BJ82" s="274"/>
      <c r="BK82" s="277"/>
      <c r="BL82" s="277"/>
      <c r="BM82" s="277"/>
      <c r="BN82" s="277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78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78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78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h42QoNH7vpiNCboxds25g1DnSWdfyCFcCqx83alSl/GlqkWJ4+4SxkAFjJn3kuCcBBL77kU3XKxm88KDp1a7Kw==" saltValue="UmccPzEA4wg6ueAwUz9tRQ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iXgxI5o1R6djPS+oxO+Lypnhah2Xhtrs/O7qUMsd0MoRdU3DI6EyXB0Ch8/46BLkc5HHFc26zV2rbrTlCDD5PA==" saltValue="uDaXJJ3ThFRJMw/KgwApK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HQITHTxqICzElDv+qJ+oWohDHT/qxGWgwc8NkopT3URfPapjiVxV+LzHFD3GMtZUV5erY4tOqtAC4MAOIEmI9w==" saltValue="3yGG+HA+Mb13r4xLzg+2U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