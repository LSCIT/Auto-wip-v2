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K:\LCG - Combined\2025 WIP Automation\NESM\"/>
    </mc:Choice>
  </mc:AlternateContent>
  <xr:revisionPtr revIDLastSave="0" documentId="13_ncr:1_{3B1E6C69-E90C-475D-B5D8-3FF1DE710604}" xr6:coauthVersionLast="47" xr6:coauthVersionMax="47" xr10:uidLastSave="{00000000-0000-0000-0000-000000000000}"/>
  <bookViews>
    <workbookView xWindow="38280" yWindow="-120" windowWidth="38640" windowHeight="21120" xr2:uid="{80AF75E5-685B-48E4-9FF6-985265D1D80D}"/>
  </bookViews>
  <sheets>
    <sheet name="Revenue" sheetId="1" r:id="rId1"/>
    <sheet name="Cost" sheetId="2" r:id="rId2"/>
  </sheets>
  <definedNames>
    <definedName name="_xlnm._FilterDatabase" localSheetId="1" hidden="1">Cost!$A$1:$E$1</definedName>
    <definedName name="_xlnm._FilterDatabase" localSheetId="0" hidden="1">Revenue!$A$1:$G$1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1" l="1"/>
  <c r="E23" i="1"/>
</calcChain>
</file>

<file path=xl/sharedStrings.xml><?xml version="1.0" encoding="utf-8"?>
<sst xmlns="http://schemas.openxmlformats.org/spreadsheetml/2006/main" count="216" uniqueCount="113">
  <si>
    <t>Month</t>
  </si>
  <si>
    <t>Contract</t>
  </si>
  <si>
    <t>Description</t>
  </si>
  <si>
    <t>Job</t>
  </si>
  <si>
    <t>Job Desc</t>
  </si>
  <si>
    <t>Bonus Profit</t>
  </si>
  <si>
    <t>GAAP Overide Revenue Projection</t>
  </si>
  <si>
    <t>Ops Overide Revenue Projection</t>
  </si>
  <si>
    <t>GAAP Overide Cost Projection</t>
  </si>
  <si>
    <t>Ops Overide Cost Projection</t>
  </si>
  <si>
    <t>Anticipated Completion Date</t>
  </si>
  <si>
    <t>W.M. Lyles Co. - ECWAP</t>
  </si>
  <si>
    <t>31.1059.</t>
  </si>
  <si>
    <t>32.2056.</t>
  </si>
  <si>
    <t>Bernards Brothers - Fresno Co. West Annex Jail</t>
  </si>
  <si>
    <t>32.2230.</t>
  </si>
  <si>
    <t>GL Associates Bruno - VCH, Food Service Renovations</t>
  </si>
  <si>
    <t>32.2239.</t>
  </si>
  <si>
    <t>CRMC - CMC 2030 Program Support</t>
  </si>
  <si>
    <t>32.2254.</t>
  </si>
  <si>
    <t>VCH - CIP 662 Cooling Tower #2 Replacement</t>
  </si>
  <si>
    <t>32.2255.</t>
  </si>
  <si>
    <t>Kruger / VCH - ECHO Cardiology IDMP</t>
  </si>
  <si>
    <t>32.2257.</t>
  </si>
  <si>
    <t>Kruger / VCH - Kruger - PICU IDMP Reno &amp; Re-Pipe</t>
  </si>
  <si>
    <t>32.2258.</t>
  </si>
  <si>
    <t>City of Dos Palos-Water Treatment Plant Replacement</t>
  </si>
  <si>
    <t>32.2260.</t>
  </si>
  <si>
    <t>VCH - CIP 669 MRI #3</t>
  </si>
  <si>
    <t>32.2262.</t>
  </si>
  <si>
    <t>Middle River Power BESS - Henrietta</t>
  </si>
  <si>
    <t>35.5193.</t>
  </si>
  <si>
    <t>McCarthy Bldg. Co. - Kaiser Fresno Acute Service Exp.</t>
  </si>
  <si>
    <t>35.5260.</t>
  </si>
  <si>
    <t>PG&amp;E - Helms Switchyard Elevator Ventilation Upgrade</t>
  </si>
  <si>
    <t>35.5282.</t>
  </si>
  <si>
    <t>Seals Constr. - SAMC, Switchgear Fire Pump</t>
  </si>
  <si>
    <t>35.5288.</t>
  </si>
  <si>
    <t>Seals Constr. - SCCCD, Applied Technology Ph. 1, Clovis CC</t>
  </si>
  <si>
    <t>35.5299.</t>
  </si>
  <si>
    <t>David A Bush - Dinuba High School</t>
  </si>
  <si>
    <t>35.5302.</t>
  </si>
  <si>
    <t>H&amp;R Facilities - Citrus, Sheet Metal and Piping Work</t>
  </si>
  <si>
    <t>35.5319.</t>
  </si>
  <si>
    <t>Zumwalt Construction - VCH, CT 64 Replacement</t>
  </si>
  <si>
    <t>35.5321.</t>
  </si>
  <si>
    <t>FUSD - HVAC Design-Build</t>
  </si>
  <si>
    <t>35.5323.</t>
  </si>
  <si>
    <t>GL Assoc. Bruno - VCH, Lab Remodel (Design/Build)</t>
  </si>
  <si>
    <t>35.5325.</t>
  </si>
  <si>
    <t>Kaiser Foundation - FRS MC Cabinet Inst. Drying</t>
  </si>
  <si>
    <t>35.5327.</t>
  </si>
  <si>
    <t>VCH - Sterilizer Room Mod. (GO219)</t>
  </si>
  <si>
    <t>35.5328.</t>
  </si>
  <si>
    <t>VCH - RTAC-4 Design &amp; Build</t>
  </si>
  <si>
    <t>35.5336.</t>
  </si>
  <si>
    <t>VCH - Utility Relocation (CEP to K-Line Pit)</t>
  </si>
  <si>
    <t>35.5337.</t>
  </si>
  <si>
    <t>VCH - CIP 673 Elevator Retrofit</t>
  </si>
  <si>
    <t>35.5338.</t>
  </si>
  <si>
    <t>Sanger Ed Complex-Ph 3 - ASM</t>
  </si>
  <si>
    <t>35.5339.</t>
  </si>
  <si>
    <t>FUSD - Dailey Elementary Charter School - HVAC Improvements</t>
  </si>
  <si>
    <t>35.5342.</t>
  </si>
  <si>
    <t>VCH - Kruger - Simulation Area</t>
  </si>
  <si>
    <t>35.5343.</t>
  </si>
  <si>
    <t>FUSD - Sunnyside High School Chiller Replacements</t>
  </si>
  <si>
    <t>35.5346.</t>
  </si>
  <si>
    <t>Harris Construction - Terry Bradley Educational Center, Increment 5</t>
  </si>
  <si>
    <t>35.5347.</t>
  </si>
  <si>
    <t>GL Bruno - Home Care AC Redesign (VCH)</t>
  </si>
  <si>
    <t>35.5348.</t>
  </si>
  <si>
    <t>32.2263.</t>
  </si>
  <si>
    <t>VCH - Cooling Tower #1</t>
  </si>
  <si>
    <t>35.5344.</t>
  </si>
  <si>
    <t>Kaiser - Clovis Main Corridor Restroom Refresh</t>
  </si>
  <si>
    <t>VCH CSA 22 System Improvements</t>
  </si>
  <si>
    <t>35.5349.</t>
  </si>
  <si>
    <t>Construction Division - Administration OH 2025 FY</t>
  </si>
  <si>
    <t>35.5350.</t>
  </si>
  <si>
    <t>Construction Division - Pursuit OH 2025 FY</t>
  </si>
  <si>
    <t>35.5351.</t>
  </si>
  <si>
    <t>Construction Division - Engineering OH 2025 FY</t>
  </si>
  <si>
    <t>35.5352.</t>
  </si>
  <si>
    <t>Construction Division - Warranty for Closed Jobs 2025 FY</t>
  </si>
  <si>
    <t>35.5353.</t>
  </si>
  <si>
    <t>VCH - Small Jobs 2025 FY</t>
  </si>
  <si>
    <t>35.5354.</t>
  </si>
  <si>
    <t>SAMC - Maintenance Work Repair 2025</t>
  </si>
  <si>
    <t>35.5355.</t>
  </si>
  <si>
    <t>CMC Work 2025 FY</t>
  </si>
  <si>
    <t>35.5356.</t>
  </si>
  <si>
    <t>Vegas Builds - DESIGN - Lyles Sacramento - Ramona Opportunity</t>
  </si>
  <si>
    <t>35.5357.</t>
  </si>
  <si>
    <t>Kruger - VCH - Doctor's Lounge</t>
  </si>
  <si>
    <t>35.5358.</t>
  </si>
  <si>
    <t>SAMC - 1 North Fluoroscopy Rooms 5-7 – Design and Engineerin</t>
  </si>
  <si>
    <t>35.5359.</t>
  </si>
  <si>
    <t>SAMC - Radiology Rooms 1,2,8 and 9 – Design and Engineering</t>
  </si>
  <si>
    <t>35.5360.</t>
  </si>
  <si>
    <t>CRMC- Bob Smittcamp Neurosciences Renovation</t>
  </si>
  <si>
    <t>35.5361.</t>
  </si>
  <si>
    <t>VCH - Cell Therapy Lab Modifications</t>
  </si>
  <si>
    <t>35.5362.</t>
  </si>
  <si>
    <t>PG&amp;E - Kerckhoff 2 Control Room Ventilation Study</t>
  </si>
  <si>
    <t>35.5363.</t>
  </si>
  <si>
    <t>W.M. Lyles Co.- Aymium</t>
  </si>
  <si>
    <t>35.5364.</t>
  </si>
  <si>
    <t>FUSD - Baird Middle School HVAC Equipment Replacement</t>
  </si>
  <si>
    <t>35.5366.</t>
  </si>
  <si>
    <t>Swinerton - CMC Seismic Compliance Upgrades Project</t>
  </si>
  <si>
    <t>35.5367.</t>
  </si>
  <si>
    <t>CertainTeed - Office HVAC RFP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</si>
</sst>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1207B-BC87-470D-A57A-3FDC5F58D420}">
  <dimension ref="A1:G233"/>
  <sheetViews>
    <sheetView tabSelected="1" workbookViewId="0">
      <selection activeCell="D45" sqref="D45"/>
    </sheetView>
  </sheetViews>
  <sheetFormatPr defaultRowHeight="15" x14ac:dyDescent="0.25"/>
  <cols>
    <col min="1" max="1" width="14.85546875" customWidth="1"/>
    <col min="2" max="2" width="21.85546875" customWidth="1"/>
    <col min="3" max="3" width="40.140625" bestFit="1" customWidth="1"/>
    <col min="4" max="4" width="30.7109375" bestFit="1" customWidth="1"/>
    <col min="5" max="5" width="29.42578125" bestFit="1" customWidth="1"/>
    <col min="6" max="6" width="14" style="3" bestFit="1" customWidth="1"/>
    <col min="7" max="7" width="26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6</v>
      </c>
      <c r="E1" t="s">
        <v>7</v>
      </c>
      <c r="F1" s="3" t="s">
        <v>5</v>
      </c>
      <c r="G1" t="s">
        <v>10</v>
      </c>
    </row>
    <row r="2" spans="1:7" x14ac:dyDescent="0.25">
      <c r="A2" s="1">
        <v>45748</v>
      </c>
      <c r="B2" t="s">
        <v>12</v>
      </c>
      <c r="C2" t="s">
        <v>11</v>
      </c>
      <c r="D2" s="3"/>
      <c r="E2" s="3">
        <v>243894.76650000003</v>
      </c>
      <c r="F2" s="3">
        <v>11614.036500000017</v>
      </c>
      <c r="G2" s="2">
        <v>45772</v>
      </c>
    </row>
    <row r="3" spans="1:7" x14ac:dyDescent="0.25">
      <c r="A3" s="1">
        <v>45748</v>
      </c>
      <c r="B3" t="s">
        <v>13</v>
      </c>
      <c r="C3" t="s">
        <v>14</v>
      </c>
      <c r="D3" s="3"/>
      <c r="E3" s="3">
        <v>17006858</v>
      </c>
      <c r="F3" s="3">
        <v>-5800000</v>
      </c>
      <c r="G3" s="2">
        <v>45778</v>
      </c>
    </row>
    <row r="4" spans="1:7" x14ac:dyDescent="0.25">
      <c r="A4" s="1">
        <v>45748</v>
      </c>
      <c r="B4" t="s">
        <v>15</v>
      </c>
      <c r="C4" t="s">
        <v>16</v>
      </c>
      <c r="D4" s="3"/>
      <c r="E4" s="3">
        <v>411100</v>
      </c>
      <c r="F4" s="3">
        <v>0</v>
      </c>
      <c r="G4" s="2">
        <v>45901</v>
      </c>
    </row>
    <row r="5" spans="1:7" x14ac:dyDescent="0.25">
      <c r="A5" s="1">
        <v>45748</v>
      </c>
      <c r="B5" t="s">
        <v>17</v>
      </c>
      <c r="C5" t="s">
        <v>18</v>
      </c>
      <c r="D5" s="3"/>
      <c r="E5" s="3">
        <v>105444</v>
      </c>
      <c r="F5" s="3">
        <v>43538.76</v>
      </c>
      <c r="G5" s="2">
        <v>45748</v>
      </c>
    </row>
    <row r="6" spans="1:7" x14ac:dyDescent="0.25">
      <c r="A6" s="1">
        <v>45748</v>
      </c>
      <c r="B6" t="s">
        <v>19</v>
      </c>
      <c r="C6" t="s">
        <v>20</v>
      </c>
      <c r="D6" s="3"/>
      <c r="E6" s="3">
        <v>1017300</v>
      </c>
      <c r="F6" s="3">
        <v>212992.54000000004</v>
      </c>
      <c r="G6" s="2">
        <v>45748</v>
      </c>
    </row>
    <row r="7" spans="1:7" x14ac:dyDescent="0.25">
      <c r="A7" s="1">
        <v>45748</v>
      </c>
      <c r="B7" t="s">
        <v>21</v>
      </c>
      <c r="C7" t="s">
        <v>22</v>
      </c>
      <c r="D7" s="3"/>
      <c r="E7" s="3">
        <v>212000</v>
      </c>
      <c r="F7" s="3">
        <v>23132.760989010989</v>
      </c>
      <c r="G7" s="2">
        <v>45931</v>
      </c>
    </row>
    <row r="8" spans="1:7" x14ac:dyDescent="0.25">
      <c r="A8" s="1">
        <v>45748</v>
      </c>
      <c r="B8" t="s">
        <v>23</v>
      </c>
      <c r="C8" t="s">
        <v>24</v>
      </c>
      <c r="D8" s="3"/>
      <c r="E8" s="3">
        <v>1177800</v>
      </c>
      <c r="F8" s="3">
        <v>49735.815129084673</v>
      </c>
      <c r="G8" s="2">
        <v>45839</v>
      </c>
    </row>
    <row r="9" spans="1:7" x14ac:dyDescent="0.25">
      <c r="A9" s="1">
        <v>45748</v>
      </c>
      <c r="B9" t="s">
        <v>25</v>
      </c>
      <c r="C9" t="s">
        <v>26</v>
      </c>
      <c r="D9" s="3"/>
      <c r="E9" s="3">
        <v>491273.39</v>
      </c>
      <c r="F9" s="3">
        <v>0</v>
      </c>
      <c r="G9" s="2">
        <v>45992</v>
      </c>
    </row>
    <row r="10" spans="1:7" x14ac:dyDescent="0.25">
      <c r="A10" s="1">
        <v>45748</v>
      </c>
      <c r="B10" t="s">
        <v>27</v>
      </c>
      <c r="C10" t="s">
        <v>28</v>
      </c>
      <c r="D10" s="3"/>
      <c r="E10" s="3">
        <v>422650</v>
      </c>
      <c r="F10" s="3">
        <v>59385.692506831583</v>
      </c>
      <c r="G10" s="2">
        <v>45778</v>
      </c>
    </row>
    <row r="11" spans="1:7" x14ac:dyDescent="0.25">
      <c r="A11" s="1">
        <v>45748</v>
      </c>
      <c r="B11" t="s">
        <v>29</v>
      </c>
      <c r="C11" t="s">
        <v>30</v>
      </c>
      <c r="D11" s="3"/>
      <c r="E11" s="3">
        <v>354432.82</v>
      </c>
      <c r="F11" s="3">
        <v>67840.123560299748</v>
      </c>
      <c r="G11" s="2">
        <v>45809</v>
      </c>
    </row>
    <row r="12" spans="1:7" x14ac:dyDescent="0.25">
      <c r="A12" s="1">
        <v>45748</v>
      </c>
      <c r="B12" t="s">
        <v>72</v>
      </c>
      <c r="C12" t="s">
        <v>73</v>
      </c>
      <c r="D12" s="3"/>
      <c r="E12" s="3">
        <v>648500</v>
      </c>
      <c r="F12" s="3">
        <v>0</v>
      </c>
      <c r="G12" s="2">
        <v>46054</v>
      </c>
    </row>
    <row r="13" spans="1:7" x14ac:dyDescent="0.25">
      <c r="A13" s="1">
        <v>45748</v>
      </c>
      <c r="B13" t="s">
        <v>31</v>
      </c>
      <c r="C13" t="s">
        <v>32</v>
      </c>
      <c r="D13" s="3"/>
      <c r="E13" s="3">
        <v>1487948</v>
      </c>
      <c r="F13" s="3">
        <v>-25000</v>
      </c>
      <c r="G13" s="2">
        <v>45809</v>
      </c>
    </row>
    <row r="14" spans="1:7" x14ac:dyDescent="0.25">
      <c r="A14" s="1">
        <v>45748</v>
      </c>
      <c r="B14" t="s">
        <v>33</v>
      </c>
      <c r="C14" t="s">
        <v>34</v>
      </c>
      <c r="D14" s="3"/>
      <c r="E14" s="3">
        <v>639475</v>
      </c>
      <c r="F14" s="3">
        <v>24779.077566758275</v>
      </c>
      <c r="G14" s="2">
        <v>45839</v>
      </c>
    </row>
    <row r="15" spans="1:7" x14ac:dyDescent="0.25">
      <c r="A15" s="1">
        <v>45748</v>
      </c>
      <c r="B15" t="s">
        <v>35</v>
      </c>
      <c r="C15" t="s">
        <v>36</v>
      </c>
      <c r="D15" s="3"/>
      <c r="E15" s="3">
        <v>905339</v>
      </c>
      <c r="F15" s="3">
        <v>-100000</v>
      </c>
      <c r="G15" s="2">
        <v>45778</v>
      </c>
    </row>
    <row r="16" spans="1:7" x14ac:dyDescent="0.25">
      <c r="A16" s="1">
        <v>45748</v>
      </c>
      <c r="B16" t="s">
        <v>37</v>
      </c>
      <c r="C16" t="s">
        <v>38</v>
      </c>
      <c r="D16" s="3"/>
      <c r="E16" s="3">
        <v>10032118</v>
      </c>
      <c r="F16" s="3">
        <v>-1110000</v>
      </c>
      <c r="G16" s="2">
        <v>45778</v>
      </c>
    </row>
    <row r="17" spans="1:7" x14ac:dyDescent="0.25">
      <c r="A17" s="1">
        <v>45748</v>
      </c>
      <c r="B17" t="s">
        <v>39</v>
      </c>
      <c r="C17" t="s">
        <v>40</v>
      </c>
      <c r="D17" s="3"/>
      <c r="E17" s="3">
        <v>5279141</v>
      </c>
      <c r="F17" s="3">
        <v>678943.63999999966</v>
      </c>
      <c r="G17" s="2">
        <v>45748</v>
      </c>
    </row>
    <row r="18" spans="1:7" x14ac:dyDescent="0.25">
      <c r="A18" s="1">
        <v>45748</v>
      </c>
      <c r="B18" t="s">
        <v>41</v>
      </c>
      <c r="C18" t="s">
        <v>42</v>
      </c>
      <c r="D18" s="3"/>
      <c r="E18" s="3">
        <v>3962019.16</v>
      </c>
      <c r="F18" s="3">
        <v>27367.450000000186</v>
      </c>
      <c r="G18" s="2">
        <v>45748</v>
      </c>
    </row>
    <row r="19" spans="1:7" x14ac:dyDescent="0.25">
      <c r="A19" s="1">
        <v>45748</v>
      </c>
      <c r="B19" t="s">
        <v>43</v>
      </c>
      <c r="C19" t="s">
        <v>44</v>
      </c>
      <c r="D19" s="3"/>
      <c r="E19" s="3">
        <v>530330</v>
      </c>
      <c r="F19" s="3">
        <v>-80000</v>
      </c>
      <c r="G19" s="2">
        <v>45870</v>
      </c>
    </row>
    <row r="20" spans="1:7" x14ac:dyDescent="0.25">
      <c r="A20" s="1">
        <v>45748</v>
      </c>
      <c r="B20" t="s">
        <v>45</v>
      </c>
      <c r="C20" t="s">
        <v>46</v>
      </c>
      <c r="D20" s="3"/>
      <c r="E20" s="3">
        <v>39854946.439999998</v>
      </c>
      <c r="F20" s="3">
        <v>9518355.3515691683</v>
      </c>
      <c r="G20" s="2">
        <v>45992</v>
      </c>
    </row>
    <row r="21" spans="1:7" x14ac:dyDescent="0.25">
      <c r="A21" s="1">
        <v>45748</v>
      </c>
      <c r="B21" t="s">
        <v>47</v>
      </c>
      <c r="C21" t="s">
        <v>48</v>
      </c>
      <c r="D21" s="3"/>
      <c r="E21" s="3">
        <v>936700</v>
      </c>
      <c r="F21" s="3">
        <v>0</v>
      </c>
      <c r="G21" s="2">
        <v>46357</v>
      </c>
    </row>
    <row r="22" spans="1:7" x14ac:dyDescent="0.25">
      <c r="A22" s="1">
        <v>45748</v>
      </c>
      <c r="B22" t="s">
        <v>49</v>
      </c>
      <c r="C22" t="s">
        <v>50</v>
      </c>
      <c r="D22" s="3"/>
      <c r="E22" s="3">
        <v>62777</v>
      </c>
      <c r="F22" s="3">
        <v>724.31018312848619</v>
      </c>
      <c r="G22" s="2">
        <v>45809</v>
      </c>
    </row>
    <row r="23" spans="1:7" x14ac:dyDescent="0.25">
      <c r="A23" s="1">
        <v>45748</v>
      </c>
      <c r="B23" t="s">
        <v>51</v>
      </c>
      <c r="C23" t="s">
        <v>52</v>
      </c>
      <c r="D23" s="3"/>
      <c r="E23" s="3">
        <f>197300+57895+3816.48</f>
        <v>259011.48</v>
      </c>
      <c r="F23" s="3">
        <v>22688.089999999997</v>
      </c>
      <c r="G23" s="2">
        <v>45772</v>
      </c>
    </row>
    <row r="24" spans="1:7" x14ac:dyDescent="0.25">
      <c r="A24" s="1">
        <v>45748</v>
      </c>
      <c r="B24" t="s">
        <v>53</v>
      </c>
      <c r="C24" t="s">
        <v>54</v>
      </c>
      <c r="D24" s="3"/>
      <c r="E24" s="3">
        <v>4367300</v>
      </c>
      <c r="F24" s="3">
        <v>136841.94860709689</v>
      </c>
      <c r="G24" s="2">
        <v>45992</v>
      </c>
    </row>
    <row r="25" spans="1:7" x14ac:dyDescent="0.25">
      <c r="A25" s="1">
        <v>45748</v>
      </c>
      <c r="B25" t="s">
        <v>55</v>
      </c>
      <c r="C25" t="s">
        <v>56</v>
      </c>
      <c r="D25" s="3"/>
      <c r="E25" s="3">
        <v>3620048</v>
      </c>
      <c r="F25" s="3">
        <v>35399.273532633648</v>
      </c>
      <c r="G25" s="2">
        <v>45992</v>
      </c>
    </row>
    <row r="26" spans="1:7" x14ac:dyDescent="0.25">
      <c r="A26" s="1">
        <v>45748</v>
      </c>
      <c r="B26" t="s">
        <v>57</v>
      </c>
      <c r="C26" t="s">
        <v>58</v>
      </c>
      <c r="D26" s="3"/>
      <c r="E26" s="3">
        <v>960900</v>
      </c>
      <c r="F26" s="3">
        <v>0</v>
      </c>
      <c r="G26" s="2">
        <v>46722</v>
      </c>
    </row>
    <row r="27" spans="1:7" x14ac:dyDescent="0.25">
      <c r="A27" s="1">
        <v>45748</v>
      </c>
      <c r="B27" t="s">
        <v>59</v>
      </c>
      <c r="C27" t="s">
        <v>60</v>
      </c>
      <c r="D27" s="3"/>
      <c r="E27" s="3">
        <v>4250000</v>
      </c>
      <c r="F27" s="3">
        <v>80400.326584158407</v>
      </c>
      <c r="G27" s="2">
        <v>45992</v>
      </c>
    </row>
    <row r="28" spans="1:7" x14ac:dyDescent="0.25">
      <c r="A28" s="1">
        <v>45748</v>
      </c>
      <c r="B28" t="s">
        <v>61</v>
      </c>
      <c r="C28" t="s">
        <v>62</v>
      </c>
      <c r="D28" s="3"/>
      <c r="E28" s="3">
        <f>989100+1111+96749</f>
        <v>1086960</v>
      </c>
      <c r="F28" s="3">
        <v>153555.26</v>
      </c>
      <c r="G28" s="2">
        <v>45748</v>
      </c>
    </row>
    <row r="29" spans="1:7" x14ac:dyDescent="0.25">
      <c r="A29" s="1">
        <v>45748</v>
      </c>
      <c r="B29" t="s">
        <v>63</v>
      </c>
      <c r="C29" t="s">
        <v>64</v>
      </c>
      <c r="D29" s="3"/>
      <c r="E29" s="3">
        <v>79300</v>
      </c>
      <c r="F29" s="3">
        <v>5252.0299999999988</v>
      </c>
      <c r="G29" s="2">
        <v>45748</v>
      </c>
    </row>
    <row r="30" spans="1:7" x14ac:dyDescent="0.25">
      <c r="A30" s="1">
        <v>45748</v>
      </c>
      <c r="B30" t="s">
        <v>65</v>
      </c>
      <c r="C30" t="s">
        <v>66</v>
      </c>
      <c r="D30" s="3"/>
      <c r="E30" s="3">
        <v>489000</v>
      </c>
      <c r="F30" s="3">
        <v>34669.607709251104</v>
      </c>
      <c r="G30" s="2">
        <v>45809</v>
      </c>
    </row>
    <row r="31" spans="1:7" x14ac:dyDescent="0.25">
      <c r="A31" s="1">
        <v>45748</v>
      </c>
      <c r="B31" t="s">
        <v>74</v>
      </c>
      <c r="C31" t="s">
        <v>75</v>
      </c>
      <c r="D31" s="3"/>
      <c r="E31" s="3">
        <v>125900</v>
      </c>
      <c r="F31" s="3">
        <v>1766.3279569892472</v>
      </c>
      <c r="G31" s="2">
        <v>45839</v>
      </c>
    </row>
    <row r="32" spans="1:7" x14ac:dyDescent="0.25">
      <c r="A32" s="1">
        <v>45748</v>
      </c>
      <c r="B32" t="s">
        <v>67</v>
      </c>
      <c r="C32" t="s">
        <v>68</v>
      </c>
      <c r="D32" s="3"/>
      <c r="E32" s="3">
        <v>1169000</v>
      </c>
      <c r="F32" s="3">
        <v>8536.6300262237764</v>
      </c>
      <c r="G32" s="2">
        <v>46235</v>
      </c>
    </row>
    <row r="33" spans="1:7" x14ac:dyDescent="0.25">
      <c r="A33" s="1">
        <v>45748</v>
      </c>
      <c r="B33" t="s">
        <v>69</v>
      </c>
      <c r="C33" t="s">
        <v>70</v>
      </c>
      <c r="D33" s="3"/>
      <c r="E33" s="3">
        <v>826800</v>
      </c>
      <c r="F33" s="3">
        <v>15705.980361202324</v>
      </c>
      <c r="G33" s="2">
        <v>45992</v>
      </c>
    </row>
    <row r="34" spans="1:7" x14ac:dyDescent="0.25">
      <c r="A34" s="1">
        <v>45748</v>
      </c>
      <c r="B34" t="s">
        <v>71</v>
      </c>
      <c r="C34" t="s">
        <v>76</v>
      </c>
      <c r="D34" s="3"/>
      <c r="E34" s="3">
        <v>1680292</v>
      </c>
      <c r="F34" s="3">
        <v>0</v>
      </c>
      <c r="G34" s="2">
        <v>46174</v>
      </c>
    </row>
    <row r="35" spans="1:7" x14ac:dyDescent="0.25">
      <c r="A35" s="1">
        <v>45748</v>
      </c>
      <c r="B35" t="s">
        <v>77</v>
      </c>
      <c r="C35" t="s">
        <v>78</v>
      </c>
      <c r="D35" s="3"/>
      <c r="E35" s="3">
        <v>0</v>
      </c>
      <c r="F35" s="3">
        <v>-939614.26</v>
      </c>
      <c r="G35" s="2">
        <v>45992</v>
      </c>
    </row>
    <row r="36" spans="1:7" x14ac:dyDescent="0.25">
      <c r="A36" s="1">
        <v>45748</v>
      </c>
      <c r="B36" t="s">
        <v>79</v>
      </c>
      <c r="C36" t="s">
        <v>80</v>
      </c>
      <c r="D36" s="3"/>
      <c r="E36" s="3">
        <v>0</v>
      </c>
      <c r="F36" s="3">
        <v>-319781.51</v>
      </c>
      <c r="G36" s="2">
        <v>45992</v>
      </c>
    </row>
    <row r="37" spans="1:7" x14ac:dyDescent="0.25">
      <c r="A37" s="1">
        <v>45748</v>
      </c>
      <c r="B37" t="s">
        <v>81</v>
      </c>
      <c r="C37" t="s">
        <v>82</v>
      </c>
      <c r="D37" s="3"/>
      <c r="E37" s="3">
        <v>0</v>
      </c>
      <c r="F37" s="3">
        <v>-139073.79</v>
      </c>
      <c r="G37" s="2">
        <v>45992</v>
      </c>
    </row>
    <row r="38" spans="1:7" x14ac:dyDescent="0.25">
      <c r="A38" s="1">
        <v>45748</v>
      </c>
      <c r="B38" t="s">
        <v>83</v>
      </c>
      <c r="C38" t="s">
        <v>84</v>
      </c>
      <c r="D38" s="3"/>
      <c r="E38" s="3">
        <v>0</v>
      </c>
      <c r="F38" s="3">
        <v>-59750.89</v>
      </c>
      <c r="G38" s="2">
        <v>45992</v>
      </c>
    </row>
    <row r="39" spans="1:7" x14ac:dyDescent="0.25">
      <c r="A39" s="1">
        <v>45748</v>
      </c>
      <c r="B39" t="s">
        <v>85</v>
      </c>
      <c r="C39" t="s">
        <v>86</v>
      </c>
      <c r="D39" s="3"/>
      <c r="E39" s="3">
        <v>66474.210000000006</v>
      </c>
      <c r="F39" s="3">
        <v>-55000</v>
      </c>
      <c r="G39" s="2">
        <v>45992</v>
      </c>
    </row>
    <row r="40" spans="1:7" x14ac:dyDescent="0.25">
      <c r="A40" s="1">
        <v>45748</v>
      </c>
      <c r="B40" t="s">
        <v>87</v>
      </c>
      <c r="C40" t="s">
        <v>88</v>
      </c>
      <c r="D40" s="3"/>
      <c r="E40" s="3">
        <v>344126.07</v>
      </c>
      <c r="F40" s="3">
        <v>0</v>
      </c>
      <c r="G40" s="2">
        <v>45992</v>
      </c>
    </row>
    <row r="41" spans="1:7" x14ac:dyDescent="0.25">
      <c r="A41" s="1">
        <v>45748</v>
      </c>
      <c r="B41" t="s">
        <v>89</v>
      </c>
      <c r="C41" t="s">
        <v>90</v>
      </c>
      <c r="D41" s="3"/>
      <c r="E41" s="3">
        <v>70000</v>
      </c>
      <c r="F41" s="3">
        <v>-10000</v>
      </c>
      <c r="G41" s="2">
        <v>45992</v>
      </c>
    </row>
    <row r="42" spans="1:7" x14ac:dyDescent="0.25">
      <c r="A42" s="1">
        <v>45748</v>
      </c>
      <c r="B42" t="s">
        <v>91</v>
      </c>
      <c r="C42" t="s">
        <v>92</v>
      </c>
      <c r="D42" s="3"/>
      <c r="E42" s="3">
        <v>125428.75</v>
      </c>
      <c r="F42" s="3">
        <v>115002.35000000006</v>
      </c>
      <c r="G42" s="2">
        <v>45748</v>
      </c>
    </row>
    <row r="43" spans="1:7" x14ac:dyDescent="0.25">
      <c r="A43" s="1">
        <v>45748</v>
      </c>
      <c r="B43" t="s">
        <v>93</v>
      </c>
      <c r="C43" t="s">
        <v>94</v>
      </c>
      <c r="D43" s="3"/>
      <c r="E43" s="3">
        <v>34900</v>
      </c>
      <c r="F43" s="3">
        <v>-1901</v>
      </c>
      <c r="G43" s="2">
        <v>45839</v>
      </c>
    </row>
    <row r="44" spans="1:7" x14ac:dyDescent="0.25">
      <c r="A44" s="1">
        <v>45748</v>
      </c>
      <c r="B44" t="s">
        <v>95</v>
      </c>
      <c r="C44" t="s">
        <v>96</v>
      </c>
      <c r="D44" s="3"/>
      <c r="E44" s="3">
        <v>25200</v>
      </c>
      <c r="F44" s="3">
        <v>0</v>
      </c>
      <c r="G44" s="2">
        <v>45992</v>
      </c>
    </row>
    <row r="45" spans="1:7" x14ac:dyDescent="0.25">
      <c r="A45" s="1">
        <v>45748</v>
      </c>
      <c r="B45" t="s">
        <v>97</v>
      </c>
      <c r="C45" t="s">
        <v>98</v>
      </c>
      <c r="D45" s="3"/>
      <c r="E45" s="3">
        <v>33600</v>
      </c>
      <c r="F45" s="3">
        <v>0</v>
      </c>
      <c r="G45" s="2">
        <v>45992</v>
      </c>
    </row>
    <row r="46" spans="1:7" x14ac:dyDescent="0.25">
      <c r="A46" s="1">
        <v>45748</v>
      </c>
      <c r="B46" t="s">
        <v>99</v>
      </c>
      <c r="C46" t="s">
        <v>100</v>
      </c>
      <c r="D46" s="3"/>
      <c r="E46" s="3">
        <v>4326950</v>
      </c>
      <c r="F46" s="3">
        <v>0</v>
      </c>
      <c r="G46" s="2">
        <v>45992</v>
      </c>
    </row>
    <row r="47" spans="1:7" x14ac:dyDescent="0.25">
      <c r="A47" s="1">
        <v>45748</v>
      </c>
      <c r="B47" t="s">
        <v>101</v>
      </c>
      <c r="C47" t="s">
        <v>102</v>
      </c>
      <c r="D47" s="3"/>
      <c r="E47" s="3">
        <v>2100</v>
      </c>
      <c r="F47" s="3">
        <v>0</v>
      </c>
      <c r="G47" s="2">
        <v>45992</v>
      </c>
    </row>
    <row r="48" spans="1:7" x14ac:dyDescent="0.25">
      <c r="A48" s="1">
        <v>45748</v>
      </c>
      <c r="B48" t="s">
        <v>103</v>
      </c>
      <c r="C48" t="s">
        <v>104</v>
      </c>
      <c r="D48" s="3"/>
      <c r="E48" s="3">
        <v>17400</v>
      </c>
      <c r="F48" s="3">
        <v>472.7792682926829</v>
      </c>
      <c r="G48" s="2">
        <v>45870</v>
      </c>
    </row>
    <row r="49" spans="1:7" x14ac:dyDescent="0.25">
      <c r="A49" s="1">
        <v>45748</v>
      </c>
      <c r="B49" t="s">
        <v>105</v>
      </c>
      <c r="C49" t="s">
        <v>106</v>
      </c>
      <c r="D49" s="3"/>
      <c r="E49" s="3">
        <v>38484.6</v>
      </c>
      <c r="F49" s="3">
        <v>482.4626295919926</v>
      </c>
      <c r="G49" s="2">
        <v>45992</v>
      </c>
    </row>
    <row r="50" spans="1:7" x14ac:dyDescent="0.25">
      <c r="A50" s="1">
        <v>45748</v>
      </c>
      <c r="B50" t="s">
        <v>107</v>
      </c>
      <c r="C50" t="s">
        <v>108</v>
      </c>
      <c r="D50" s="3"/>
      <c r="E50" s="3">
        <v>1279000</v>
      </c>
      <c r="F50" s="3">
        <v>0</v>
      </c>
      <c r="G50" s="2">
        <v>45931</v>
      </c>
    </row>
    <row r="51" spans="1:7" x14ac:dyDescent="0.25">
      <c r="A51" s="1">
        <v>45748</v>
      </c>
      <c r="B51" t="s">
        <v>109</v>
      </c>
      <c r="C51" t="s">
        <v>110</v>
      </c>
      <c r="D51" s="3"/>
      <c r="E51" s="3">
        <v>7000</v>
      </c>
      <c r="F51" s="3">
        <v>0</v>
      </c>
      <c r="G51" s="2">
        <v>46722</v>
      </c>
    </row>
    <row r="52" spans="1:7" x14ac:dyDescent="0.25">
      <c r="A52" s="1">
        <v>45748</v>
      </c>
      <c r="B52" t="s">
        <v>111</v>
      </c>
      <c r="C52" t="s">
        <v>112</v>
      </c>
      <c r="D52" s="3"/>
      <c r="E52" s="3">
        <v>2000</v>
      </c>
      <c r="F52" s="3">
        <v>0</v>
      </c>
      <c r="G52" s="2">
        <v>45992</v>
      </c>
    </row>
    <row r="53" spans="1:7" x14ac:dyDescent="0.25">
      <c r="A53" s="1"/>
      <c r="D53" s="3"/>
      <c r="E53" s="3"/>
      <c r="G53" s="2"/>
    </row>
    <row r="54" spans="1:7" x14ac:dyDescent="0.25">
      <c r="A54" s="1"/>
      <c r="D54" s="3"/>
      <c r="E54" s="3"/>
      <c r="G54" s="2"/>
    </row>
    <row r="55" spans="1:7" x14ac:dyDescent="0.25">
      <c r="A55" s="1"/>
      <c r="D55" s="3"/>
      <c r="E55" s="3"/>
      <c r="G55" s="2"/>
    </row>
    <row r="56" spans="1:7" x14ac:dyDescent="0.25">
      <c r="A56" s="1"/>
      <c r="D56" s="3"/>
      <c r="E56" s="3"/>
      <c r="G56" s="2"/>
    </row>
    <row r="57" spans="1:7" x14ac:dyDescent="0.25">
      <c r="A57" s="1"/>
      <c r="D57" s="3"/>
      <c r="E57" s="3"/>
      <c r="G57" s="2"/>
    </row>
    <row r="58" spans="1:7" x14ac:dyDescent="0.25">
      <c r="A58" s="1"/>
      <c r="D58" s="3"/>
      <c r="E58" s="3"/>
      <c r="G58" s="2"/>
    </row>
    <row r="59" spans="1:7" x14ac:dyDescent="0.25">
      <c r="A59" s="1"/>
      <c r="D59" s="3"/>
      <c r="E59" s="3"/>
      <c r="G59" s="2"/>
    </row>
    <row r="60" spans="1:7" x14ac:dyDescent="0.25">
      <c r="A60" s="1"/>
      <c r="D60" s="3"/>
      <c r="E60" s="3"/>
      <c r="G60" s="2"/>
    </row>
    <row r="61" spans="1:7" x14ac:dyDescent="0.25">
      <c r="A61" s="1"/>
      <c r="D61" s="3"/>
      <c r="E61" s="3"/>
      <c r="G61" s="2"/>
    </row>
    <row r="62" spans="1:7" x14ac:dyDescent="0.25">
      <c r="A62" s="1"/>
      <c r="D62" s="3"/>
      <c r="E62" s="3"/>
      <c r="G62" s="2"/>
    </row>
    <row r="63" spans="1:7" x14ac:dyDescent="0.25">
      <c r="A63" s="1"/>
      <c r="D63" s="3"/>
      <c r="E63" s="3"/>
      <c r="G63" s="2"/>
    </row>
    <row r="64" spans="1:7" x14ac:dyDescent="0.25">
      <c r="A64" s="1"/>
      <c r="D64" s="3"/>
      <c r="E64" s="3"/>
      <c r="G64" s="2"/>
    </row>
    <row r="65" spans="1:7" x14ac:dyDescent="0.25">
      <c r="A65" s="1"/>
      <c r="D65" s="3"/>
      <c r="E65" s="3"/>
      <c r="G65" s="2"/>
    </row>
    <row r="66" spans="1:7" x14ac:dyDescent="0.25">
      <c r="A66" s="1"/>
      <c r="D66" s="3"/>
      <c r="E66" s="3"/>
      <c r="G66" s="2"/>
    </row>
    <row r="67" spans="1:7" x14ac:dyDescent="0.25">
      <c r="A67" s="1"/>
      <c r="D67" s="3"/>
      <c r="E67" s="3"/>
      <c r="G67" s="2"/>
    </row>
    <row r="68" spans="1:7" x14ac:dyDescent="0.25">
      <c r="A68" s="1"/>
      <c r="D68" s="3"/>
      <c r="E68" s="3"/>
      <c r="G68" s="2"/>
    </row>
    <row r="69" spans="1:7" x14ac:dyDescent="0.25">
      <c r="A69" s="1"/>
      <c r="D69" s="3"/>
      <c r="E69" s="3"/>
      <c r="G69" s="2"/>
    </row>
    <row r="70" spans="1:7" x14ac:dyDescent="0.25">
      <c r="A70" s="1"/>
      <c r="D70" s="3"/>
      <c r="E70" s="3"/>
      <c r="G70" s="2"/>
    </row>
    <row r="71" spans="1:7" x14ac:dyDescent="0.25">
      <c r="A71" s="1"/>
      <c r="D71" s="3"/>
      <c r="E71" s="3"/>
      <c r="G71" s="2"/>
    </row>
    <row r="72" spans="1:7" x14ac:dyDescent="0.25">
      <c r="A72" s="1"/>
      <c r="D72" s="3"/>
      <c r="E72" s="3"/>
      <c r="G72" s="2"/>
    </row>
    <row r="73" spans="1:7" x14ac:dyDescent="0.25">
      <c r="A73" s="1"/>
      <c r="D73" s="3"/>
      <c r="E73" s="3"/>
      <c r="G73" s="2"/>
    </row>
    <row r="74" spans="1:7" x14ac:dyDescent="0.25">
      <c r="A74" s="1"/>
      <c r="D74" s="3"/>
      <c r="E74" s="3"/>
      <c r="G74" s="2"/>
    </row>
    <row r="75" spans="1:7" x14ac:dyDescent="0.25">
      <c r="A75" s="1"/>
      <c r="D75" s="3"/>
      <c r="E75" s="3"/>
      <c r="G75" s="2"/>
    </row>
    <row r="76" spans="1:7" x14ac:dyDescent="0.25">
      <c r="A76" s="1"/>
      <c r="D76" s="3"/>
      <c r="E76" s="3"/>
      <c r="G76" s="2"/>
    </row>
    <row r="77" spans="1:7" x14ac:dyDescent="0.25">
      <c r="A77" s="1"/>
      <c r="D77" s="3"/>
      <c r="E77" s="3"/>
      <c r="G77" s="2"/>
    </row>
    <row r="78" spans="1:7" x14ac:dyDescent="0.25">
      <c r="A78" s="1"/>
      <c r="D78" s="3"/>
      <c r="E78" s="3"/>
      <c r="G78" s="2"/>
    </row>
    <row r="79" spans="1:7" x14ac:dyDescent="0.25">
      <c r="A79" s="1"/>
      <c r="D79" s="3"/>
      <c r="E79" s="3"/>
      <c r="G79" s="2"/>
    </row>
    <row r="80" spans="1:7" x14ac:dyDescent="0.25">
      <c r="A80" s="1"/>
      <c r="G80" s="2"/>
    </row>
    <row r="81" spans="1:7" x14ac:dyDescent="0.25">
      <c r="A81" s="1"/>
      <c r="G81" s="2"/>
    </row>
    <row r="82" spans="1:7" x14ac:dyDescent="0.25">
      <c r="A82" s="1"/>
      <c r="G82" s="2"/>
    </row>
    <row r="83" spans="1:7" x14ac:dyDescent="0.25">
      <c r="A83" s="1"/>
      <c r="G83" s="2"/>
    </row>
    <row r="84" spans="1:7" x14ac:dyDescent="0.25">
      <c r="A84" s="1"/>
      <c r="G84" s="2"/>
    </row>
    <row r="85" spans="1:7" x14ac:dyDescent="0.25">
      <c r="A85" s="1"/>
      <c r="G85" s="2"/>
    </row>
    <row r="86" spans="1:7" x14ac:dyDescent="0.25">
      <c r="A86" s="1"/>
      <c r="G86" s="2"/>
    </row>
    <row r="87" spans="1:7" x14ac:dyDescent="0.25">
      <c r="A87" s="1"/>
      <c r="G87" s="2"/>
    </row>
    <row r="88" spans="1:7" x14ac:dyDescent="0.25">
      <c r="A88" s="1"/>
      <c r="G88" s="2"/>
    </row>
    <row r="89" spans="1:7" x14ac:dyDescent="0.25">
      <c r="A89" s="1"/>
      <c r="G89" s="2"/>
    </row>
    <row r="90" spans="1:7" x14ac:dyDescent="0.25">
      <c r="A90" s="1"/>
      <c r="G90" s="2"/>
    </row>
    <row r="91" spans="1:7" x14ac:dyDescent="0.25">
      <c r="A91" s="1"/>
      <c r="G91" s="2"/>
    </row>
    <row r="92" spans="1:7" x14ac:dyDescent="0.25">
      <c r="A92" s="1"/>
      <c r="G92" s="2"/>
    </row>
    <row r="93" spans="1:7" x14ac:dyDescent="0.25">
      <c r="A93" s="1"/>
      <c r="G93" s="2"/>
    </row>
    <row r="94" spans="1:7" x14ac:dyDescent="0.25">
      <c r="A94" s="1"/>
      <c r="G94" s="2"/>
    </row>
    <row r="95" spans="1:7" x14ac:dyDescent="0.25">
      <c r="A95" s="1"/>
      <c r="G95" s="2"/>
    </row>
    <row r="96" spans="1:7" x14ac:dyDescent="0.25">
      <c r="A96" s="1"/>
      <c r="G96" s="2"/>
    </row>
    <row r="97" spans="1:7" x14ac:dyDescent="0.25">
      <c r="A97" s="1"/>
      <c r="G97" s="2"/>
    </row>
    <row r="98" spans="1:7" x14ac:dyDescent="0.25">
      <c r="A98" s="1"/>
      <c r="G98" s="2"/>
    </row>
    <row r="99" spans="1:7" x14ac:dyDescent="0.25">
      <c r="A99" s="1"/>
      <c r="G99" s="2"/>
    </row>
    <row r="100" spans="1:7" x14ac:dyDescent="0.25">
      <c r="A100" s="1"/>
      <c r="G100" s="2"/>
    </row>
    <row r="101" spans="1:7" x14ac:dyDescent="0.25">
      <c r="A101" s="1"/>
      <c r="G101" s="2"/>
    </row>
    <row r="102" spans="1:7" x14ac:dyDescent="0.25">
      <c r="A102" s="1"/>
      <c r="G102" s="2"/>
    </row>
    <row r="103" spans="1:7" x14ac:dyDescent="0.25">
      <c r="A103" s="1"/>
      <c r="G103" s="2"/>
    </row>
    <row r="104" spans="1:7" x14ac:dyDescent="0.25">
      <c r="A104" s="1"/>
      <c r="G104" s="2"/>
    </row>
    <row r="105" spans="1:7" x14ac:dyDescent="0.25">
      <c r="A105" s="1"/>
      <c r="G105" s="2"/>
    </row>
    <row r="106" spans="1:7" x14ac:dyDescent="0.25">
      <c r="A106" s="1"/>
      <c r="G106" s="2"/>
    </row>
    <row r="107" spans="1:7" x14ac:dyDescent="0.25">
      <c r="A107" s="1"/>
      <c r="G107" s="2"/>
    </row>
    <row r="108" spans="1:7" x14ac:dyDescent="0.25">
      <c r="A108" s="1"/>
      <c r="G108" s="2"/>
    </row>
    <row r="109" spans="1:7" x14ac:dyDescent="0.25">
      <c r="A109" s="1"/>
      <c r="G109" s="2"/>
    </row>
    <row r="110" spans="1:7" x14ac:dyDescent="0.25">
      <c r="A110" s="1"/>
      <c r="G110" s="2"/>
    </row>
    <row r="111" spans="1:7" x14ac:dyDescent="0.25">
      <c r="A111" s="1"/>
      <c r="G111" s="2"/>
    </row>
    <row r="112" spans="1:7" x14ac:dyDescent="0.25">
      <c r="A112" s="1"/>
      <c r="G112" s="2"/>
    </row>
    <row r="113" spans="1:7" x14ac:dyDescent="0.25">
      <c r="A113" s="1"/>
      <c r="G113" s="2"/>
    </row>
    <row r="114" spans="1:7" x14ac:dyDescent="0.25">
      <c r="A114" s="1"/>
      <c r="G114" s="2"/>
    </row>
    <row r="115" spans="1:7" x14ac:dyDescent="0.25">
      <c r="A115" s="1"/>
      <c r="G115" s="2"/>
    </row>
    <row r="116" spans="1:7" x14ac:dyDescent="0.25">
      <c r="A116" s="1"/>
      <c r="G116" s="2"/>
    </row>
    <row r="117" spans="1:7" x14ac:dyDescent="0.25">
      <c r="A117" s="1"/>
      <c r="G117" s="2"/>
    </row>
    <row r="118" spans="1:7" x14ac:dyDescent="0.25">
      <c r="A118" s="1"/>
      <c r="G118" s="2"/>
    </row>
    <row r="119" spans="1:7" x14ac:dyDescent="0.25">
      <c r="A119" s="1"/>
      <c r="G119" s="2"/>
    </row>
    <row r="120" spans="1:7" x14ac:dyDescent="0.25">
      <c r="A120" s="1"/>
      <c r="G120" s="2"/>
    </row>
    <row r="121" spans="1:7" x14ac:dyDescent="0.25">
      <c r="A121" s="1"/>
      <c r="G121" s="2"/>
    </row>
    <row r="122" spans="1:7" x14ac:dyDescent="0.25">
      <c r="A122" s="1"/>
      <c r="G122" s="2"/>
    </row>
    <row r="123" spans="1:7" x14ac:dyDescent="0.25">
      <c r="A123" s="1"/>
      <c r="G123" s="2"/>
    </row>
    <row r="124" spans="1:7" x14ac:dyDescent="0.25">
      <c r="A124" s="1"/>
      <c r="G124" s="2"/>
    </row>
    <row r="125" spans="1:7" x14ac:dyDescent="0.25">
      <c r="A125" s="1"/>
      <c r="G125" s="2"/>
    </row>
    <row r="126" spans="1:7" x14ac:dyDescent="0.25">
      <c r="A126" s="1"/>
      <c r="G126" s="2"/>
    </row>
    <row r="127" spans="1:7" x14ac:dyDescent="0.25">
      <c r="A127" s="1"/>
      <c r="G127" s="2"/>
    </row>
    <row r="128" spans="1:7" x14ac:dyDescent="0.25">
      <c r="A128" s="1"/>
      <c r="G128" s="2"/>
    </row>
    <row r="129" spans="1:7" x14ac:dyDescent="0.25">
      <c r="A129" s="1"/>
      <c r="G129" s="2"/>
    </row>
    <row r="130" spans="1:7" x14ac:dyDescent="0.25">
      <c r="A130" s="1"/>
      <c r="G130" s="2"/>
    </row>
    <row r="131" spans="1:7" x14ac:dyDescent="0.25">
      <c r="A131" s="1"/>
      <c r="G131" s="2"/>
    </row>
    <row r="132" spans="1:7" x14ac:dyDescent="0.25">
      <c r="A132" s="1"/>
      <c r="G132" s="2"/>
    </row>
    <row r="133" spans="1:7" x14ac:dyDescent="0.25">
      <c r="A133" s="1"/>
      <c r="G133" s="2"/>
    </row>
    <row r="134" spans="1:7" x14ac:dyDescent="0.25">
      <c r="A134" s="1"/>
      <c r="G134" s="2"/>
    </row>
    <row r="135" spans="1:7" x14ac:dyDescent="0.25">
      <c r="A135" s="1"/>
      <c r="G135" s="2"/>
    </row>
    <row r="136" spans="1:7" x14ac:dyDescent="0.25">
      <c r="A136" s="1"/>
      <c r="G136" s="2"/>
    </row>
    <row r="137" spans="1:7" x14ac:dyDescent="0.25">
      <c r="A137" s="1"/>
      <c r="G137" s="2"/>
    </row>
    <row r="138" spans="1:7" x14ac:dyDescent="0.25">
      <c r="A138" s="1"/>
      <c r="G138" s="2"/>
    </row>
    <row r="139" spans="1:7" x14ac:dyDescent="0.25">
      <c r="A139" s="1"/>
      <c r="G139" s="2"/>
    </row>
    <row r="140" spans="1:7" x14ac:dyDescent="0.25">
      <c r="A140" s="1"/>
      <c r="G140" s="2"/>
    </row>
    <row r="141" spans="1:7" x14ac:dyDescent="0.25">
      <c r="A141" s="1"/>
      <c r="G141" s="2"/>
    </row>
    <row r="142" spans="1:7" x14ac:dyDescent="0.25">
      <c r="A142" s="1"/>
      <c r="G142" s="2"/>
    </row>
    <row r="143" spans="1:7" x14ac:dyDescent="0.25">
      <c r="A143" s="1"/>
      <c r="G143" s="2"/>
    </row>
    <row r="144" spans="1:7" x14ac:dyDescent="0.25">
      <c r="A144" s="1"/>
      <c r="G144" s="2"/>
    </row>
    <row r="145" spans="1:7" x14ac:dyDescent="0.25">
      <c r="A145" s="1"/>
      <c r="G145" s="2"/>
    </row>
    <row r="146" spans="1:7" x14ac:dyDescent="0.25">
      <c r="A146" s="1"/>
      <c r="G146" s="2"/>
    </row>
    <row r="147" spans="1:7" x14ac:dyDescent="0.25">
      <c r="A147" s="1"/>
      <c r="G147" s="2"/>
    </row>
    <row r="148" spans="1:7" x14ac:dyDescent="0.25">
      <c r="A148" s="1"/>
      <c r="G148" s="2"/>
    </row>
    <row r="149" spans="1:7" x14ac:dyDescent="0.25">
      <c r="A149" s="1"/>
      <c r="G149" s="2"/>
    </row>
    <row r="150" spans="1:7" x14ac:dyDescent="0.25">
      <c r="A150" s="1"/>
      <c r="G150" s="2"/>
    </row>
    <row r="151" spans="1:7" x14ac:dyDescent="0.25">
      <c r="A151" s="1"/>
      <c r="G151" s="2"/>
    </row>
    <row r="152" spans="1:7" x14ac:dyDescent="0.25">
      <c r="A152" s="1"/>
      <c r="G152" s="2"/>
    </row>
    <row r="153" spans="1:7" x14ac:dyDescent="0.25">
      <c r="A153" s="1"/>
      <c r="G153" s="2"/>
    </row>
    <row r="154" spans="1:7" x14ac:dyDescent="0.25">
      <c r="A154" s="1"/>
      <c r="G154" s="2"/>
    </row>
    <row r="155" spans="1:7" x14ac:dyDescent="0.25">
      <c r="A155" s="1"/>
      <c r="G155" s="2"/>
    </row>
    <row r="156" spans="1:7" x14ac:dyDescent="0.25">
      <c r="A156" s="1"/>
      <c r="G156" s="2"/>
    </row>
    <row r="157" spans="1:7" x14ac:dyDescent="0.25">
      <c r="A157" s="1"/>
      <c r="G157" s="2"/>
    </row>
    <row r="158" spans="1:7" x14ac:dyDescent="0.25">
      <c r="A158" s="1"/>
      <c r="G158" s="2"/>
    </row>
    <row r="159" spans="1:7" x14ac:dyDescent="0.25">
      <c r="A159" s="1"/>
      <c r="G159" s="2"/>
    </row>
    <row r="160" spans="1:7" x14ac:dyDescent="0.25">
      <c r="A160" s="1"/>
      <c r="G160" s="2"/>
    </row>
    <row r="161" spans="1:7" x14ac:dyDescent="0.25">
      <c r="A161" s="1"/>
      <c r="G161" s="2"/>
    </row>
    <row r="162" spans="1:7" x14ac:dyDescent="0.25">
      <c r="A162" s="1"/>
      <c r="G162" s="2"/>
    </row>
    <row r="163" spans="1:7" x14ac:dyDescent="0.25">
      <c r="A163" s="1"/>
      <c r="G163" s="2"/>
    </row>
    <row r="164" spans="1:7" x14ac:dyDescent="0.25">
      <c r="A164" s="1"/>
      <c r="G164" s="2"/>
    </row>
    <row r="165" spans="1:7" x14ac:dyDescent="0.25">
      <c r="A165" s="1"/>
      <c r="G165" s="2"/>
    </row>
    <row r="166" spans="1:7" x14ac:dyDescent="0.25">
      <c r="A166" s="1"/>
      <c r="G166" s="2"/>
    </row>
    <row r="167" spans="1:7" x14ac:dyDescent="0.25">
      <c r="A167" s="1"/>
      <c r="G167" s="2"/>
    </row>
    <row r="168" spans="1:7" x14ac:dyDescent="0.25">
      <c r="A168" s="1"/>
      <c r="G168" s="2"/>
    </row>
    <row r="169" spans="1:7" x14ac:dyDescent="0.25">
      <c r="A169" s="1"/>
      <c r="G169" s="2"/>
    </row>
    <row r="170" spans="1:7" x14ac:dyDescent="0.25">
      <c r="A170" s="1"/>
      <c r="G170" s="2"/>
    </row>
    <row r="171" spans="1:7" x14ac:dyDescent="0.25">
      <c r="A171" s="1"/>
      <c r="G171" s="2"/>
    </row>
    <row r="172" spans="1:7" x14ac:dyDescent="0.25">
      <c r="A172" s="1"/>
      <c r="G172" s="2"/>
    </row>
    <row r="173" spans="1:7" x14ac:dyDescent="0.25">
      <c r="A173" s="1"/>
      <c r="G173" s="2"/>
    </row>
    <row r="174" spans="1:7" x14ac:dyDescent="0.25">
      <c r="A174" s="1"/>
      <c r="G174" s="2"/>
    </row>
    <row r="175" spans="1:7" x14ac:dyDescent="0.25">
      <c r="A175" s="1"/>
      <c r="G175" s="2"/>
    </row>
    <row r="176" spans="1:7" x14ac:dyDescent="0.25">
      <c r="A176" s="1"/>
      <c r="G176" s="2"/>
    </row>
    <row r="177" spans="1:7" x14ac:dyDescent="0.25">
      <c r="A177" s="1"/>
      <c r="G177" s="2"/>
    </row>
    <row r="178" spans="1:7" x14ac:dyDescent="0.25">
      <c r="A178" s="1"/>
      <c r="G178" s="2"/>
    </row>
    <row r="179" spans="1:7" x14ac:dyDescent="0.25">
      <c r="A179" s="1"/>
      <c r="G179" s="2"/>
    </row>
    <row r="180" spans="1:7" x14ac:dyDescent="0.25">
      <c r="A180" s="1"/>
      <c r="G180" s="2"/>
    </row>
    <row r="181" spans="1:7" x14ac:dyDescent="0.25">
      <c r="A181" s="1"/>
      <c r="G181" s="2"/>
    </row>
    <row r="182" spans="1:7" x14ac:dyDescent="0.25">
      <c r="A182" s="1"/>
      <c r="G182" s="2"/>
    </row>
    <row r="183" spans="1:7" x14ac:dyDescent="0.25">
      <c r="A183" s="1"/>
      <c r="G183" s="2"/>
    </row>
    <row r="184" spans="1:7" x14ac:dyDescent="0.25">
      <c r="A184" s="1"/>
      <c r="G184" s="2"/>
    </row>
    <row r="185" spans="1:7" x14ac:dyDescent="0.25">
      <c r="A185" s="1"/>
      <c r="G185" s="2"/>
    </row>
    <row r="186" spans="1:7" x14ac:dyDescent="0.25">
      <c r="A186" s="1"/>
      <c r="G186" s="2"/>
    </row>
    <row r="187" spans="1:7" x14ac:dyDescent="0.25">
      <c r="A187" s="1"/>
      <c r="G187" s="2"/>
    </row>
    <row r="188" spans="1:7" x14ac:dyDescent="0.25">
      <c r="A188" s="1"/>
      <c r="G188" s="2"/>
    </row>
    <row r="189" spans="1:7" x14ac:dyDescent="0.25">
      <c r="A189" s="1"/>
      <c r="G189" s="2"/>
    </row>
    <row r="190" spans="1:7" x14ac:dyDescent="0.25">
      <c r="A190" s="1"/>
      <c r="G190" s="2"/>
    </row>
    <row r="191" spans="1:7" x14ac:dyDescent="0.25">
      <c r="A191" s="1"/>
      <c r="G191" s="2"/>
    </row>
    <row r="192" spans="1:7" x14ac:dyDescent="0.25">
      <c r="A192" s="1"/>
      <c r="G192" s="2"/>
    </row>
    <row r="193" spans="1:7" x14ac:dyDescent="0.25">
      <c r="A193" s="1"/>
      <c r="G193" s="2"/>
    </row>
    <row r="194" spans="1:7" x14ac:dyDescent="0.25">
      <c r="A194" s="1"/>
      <c r="G194" s="2"/>
    </row>
    <row r="195" spans="1:7" x14ac:dyDescent="0.25">
      <c r="A195" s="1"/>
      <c r="G195" s="2"/>
    </row>
    <row r="196" spans="1:7" x14ac:dyDescent="0.25">
      <c r="A196" s="1"/>
      <c r="G196" s="2"/>
    </row>
    <row r="197" spans="1:7" x14ac:dyDescent="0.25">
      <c r="A197" s="1"/>
      <c r="G197" s="2"/>
    </row>
    <row r="198" spans="1:7" x14ac:dyDescent="0.25">
      <c r="A198" s="1"/>
      <c r="G198" s="2"/>
    </row>
    <row r="199" spans="1:7" x14ac:dyDescent="0.25">
      <c r="A199" s="1"/>
      <c r="G199" s="2"/>
    </row>
    <row r="200" spans="1:7" x14ac:dyDescent="0.25">
      <c r="A200" s="1"/>
      <c r="G200" s="2"/>
    </row>
    <row r="201" spans="1:7" x14ac:dyDescent="0.25">
      <c r="A201" s="1"/>
      <c r="G201" s="2"/>
    </row>
    <row r="202" spans="1:7" x14ac:dyDescent="0.25">
      <c r="A202" s="1"/>
      <c r="G202" s="2"/>
    </row>
    <row r="203" spans="1:7" x14ac:dyDescent="0.25">
      <c r="A203" s="1"/>
      <c r="G203" s="2"/>
    </row>
    <row r="204" spans="1:7" x14ac:dyDescent="0.25">
      <c r="A204" s="1"/>
      <c r="G204" s="2"/>
    </row>
    <row r="205" spans="1:7" x14ac:dyDescent="0.25">
      <c r="A205" s="1"/>
      <c r="G205" s="2"/>
    </row>
    <row r="206" spans="1:7" x14ac:dyDescent="0.25">
      <c r="A206" s="1"/>
      <c r="G206" s="2"/>
    </row>
    <row r="207" spans="1:7" x14ac:dyDescent="0.25">
      <c r="A207" s="1"/>
      <c r="G207" s="2"/>
    </row>
    <row r="208" spans="1:7" x14ac:dyDescent="0.25">
      <c r="A208" s="1"/>
      <c r="G208" s="2"/>
    </row>
    <row r="209" spans="1:7" x14ac:dyDescent="0.25">
      <c r="A209" s="1"/>
      <c r="G209" s="2"/>
    </row>
    <row r="210" spans="1:7" x14ac:dyDescent="0.25">
      <c r="A210" s="1"/>
    </row>
    <row r="211" spans="1:7" x14ac:dyDescent="0.25">
      <c r="A211" s="1"/>
    </row>
    <row r="212" spans="1:7" x14ac:dyDescent="0.25">
      <c r="A212" s="1"/>
    </row>
    <row r="213" spans="1:7" x14ac:dyDescent="0.25">
      <c r="A213" s="1"/>
    </row>
    <row r="214" spans="1:7" x14ac:dyDescent="0.25">
      <c r="A214" s="1"/>
    </row>
    <row r="215" spans="1:7" x14ac:dyDescent="0.25">
      <c r="A215" s="1"/>
    </row>
    <row r="216" spans="1:7" x14ac:dyDescent="0.25">
      <c r="A216" s="1"/>
    </row>
    <row r="217" spans="1:7" x14ac:dyDescent="0.25">
      <c r="A217" s="1"/>
    </row>
    <row r="218" spans="1:7" x14ac:dyDescent="0.25">
      <c r="A218" s="1"/>
    </row>
    <row r="219" spans="1:7" x14ac:dyDescent="0.25">
      <c r="A219" s="1"/>
    </row>
    <row r="220" spans="1:7" x14ac:dyDescent="0.25">
      <c r="A220" s="1"/>
    </row>
    <row r="221" spans="1:7" x14ac:dyDescent="0.25">
      <c r="A221" s="1"/>
    </row>
    <row r="222" spans="1:7" x14ac:dyDescent="0.25">
      <c r="A222" s="1"/>
    </row>
    <row r="223" spans="1:7" x14ac:dyDescent="0.25">
      <c r="A223" s="1"/>
    </row>
    <row r="224" spans="1:7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</sheetData>
  <autoFilter ref="A1:G1" xr:uid="{2211207B-BC87-470D-A57A-3FDC5F58D420}">
    <sortState xmlns:xlrd2="http://schemas.microsoft.com/office/spreadsheetml/2017/richdata2" ref="A2:G52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1457-4F08-4C15-AB66-1D85D30B4CE7}">
  <dimension ref="A1:E233"/>
  <sheetViews>
    <sheetView workbookViewId="0">
      <selection activeCell="S26" sqref="S26"/>
    </sheetView>
  </sheetViews>
  <sheetFormatPr defaultRowHeight="15" x14ac:dyDescent="0.25"/>
  <cols>
    <col min="1" max="1" width="15.42578125" customWidth="1"/>
    <col min="2" max="2" width="25.42578125" customWidth="1"/>
    <col min="3" max="3" width="54.28515625" bestFit="1" customWidth="1"/>
    <col min="4" max="4" width="27.140625" style="3" bestFit="1" customWidth="1"/>
    <col min="5" max="5" width="26" style="3" bestFit="1" customWidth="1"/>
  </cols>
  <sheetData>
    <row r="1" spans="1:5" x14ac:dyDescent="0.25">
      <c r="A1" t="s">
        <v>0</v>
      </c>
      <c r="B1" t="s">
        <v>3</v>
      </c>
      <c r="C1" t="s">
        <v>4</v>
      </c>
      <c r="D1" s="3" t="s">
        <v>8</v>
      </c>
      <c r="E1" s="3" t="s">
        <v>9</v>
      </c>
    </row>
    <row r="2" spans="1:5" x14ac:dyDescent="0.25">
      <c r="A2" s="1">
        <v>45748</v>
      </c>
      <c r="B2" t="s">
        <v>12</v>
      </c>
      <c r="C2" t="s">
        <v>11</v>
      </c>
      <c r="E2" s="3">
        <v>232280.73</v>
      </c>
    </row>
    <row r="3" spans="1:5" x14ac:dyDescent="0.25">
      <c r="A3" s="1">
        <v>45748</v>
      </c>
      <c r="B3" t="s">
        <v>13</v>
      </c>
      <c r="C3" t="s">
        <v>14</v>
      </c>
      <c r="E3" s="3">
        <v>22806858</v>
      </c>
    </row>
    <row r="4" spans="1:5" x14ac:dyDescent="0.25">
      <c r="A4" s="1">
        <v>45748</v>
      </c>
      <c r="B4" t="s">
        <v>15</v>
      </c>
      <c r="C4" t="s">
        <v>16</v>
      </c>
      <c r="E4" s="3">
        <v>396100</v>
      </c>
    </row>
    <row r="5" spans="1:5" x14ac:dyDescent="0.25">
      <c r="A5" s="1">
        <v>45748</v>
      </c>
      <c r="B5" t="s">
        <v>17</v>
      </c>
      <c r="C5" t="s">
        <v>18</v>
      </c>
      <c r="E5" s="3">
        <v>61905.24</v>
      </c>
    </row>
    <row r="6" spans="1:5" x14ac:dyDescent="0.25">
      <c r="A6" s="1">
        <v>45748</v>
      </c>
      <c r="B6" t="s">
        <v>19</v>
      </c>
      <c r="C6" t="s">
        <v>20</v>
      </c>
      <c r="E6" s="3">
        <v>804307.46</v>
      </c>
    </row>
    <row r="7" spans="1:5" x14ac:dyDescent="0.25">
      <c r="A7" s="1">
        <v>45748</v>
      </c>
      <c r="B7" t="s">
        <v>21</v>
      </c>
      <c r="C7" t="s">
        <v>22</v>
      </c>
      <c r="E7" s="3">
        <v>182000</v>
      </c>
    </row>
    <row r="8" spans="1:5" x14ac:dyDescent="0.25">
      <c r="A8" s="1">
        <v>45748</v>
      </c>
      <c r="B8" t="s">
        <v>23</v>
      </c>
      <c r="C8" t="s">
        <v>24</v>
      </c>
      <c r="E8" s="3">
        <v>1107800</v>
      </c>
    </row>
    <row r="9" spans="1:5" x14ac:dyDescent="0.25">
      <c r="A9" s="1">
        <v>45748</v>
      </c>
      <c r="B9" t="s">
        <v>25</v>
      </c>
      <c r="C9" t="s">
        <v>26</v>
      </c>
      <c r="E9" s="3">
        <v>469273.39</v>
      </c>
    </row>
    <row r="10" spans="1:5" x14ac:dyDescent="0.25">
      <c r="A10" s="1">
        <v>45748</v>
      </c>
      <c r="B10" t="s">
        <v>27</v>
      </c>
      <c r="C10" t="s">
        <v>28</v>
      </c>
      <c r="E10" s="3">
        <v>347650</v>
      </c>
    </row>
    <row r="11" spans="1:5" x14ac:dyDescent="0.25">
      <c r="A11" s="1">
        <v>45748</v>
      </c>
      <c r="B11" t="s">
        <v>29</v>
      </c>
      <c r="C11" t="s">
        <v>30</v>
      </c>
      <c r="E11" s="3">
        <v>269432.82</v>
      </c>
    </row>
    <row r="12" spans="1:5" x14ac:dyDescent="0.25">
      <c r="A12" s="1">
        <v>45748</v>
      </c>
      <c r="B12" t="s">
        <v>72</v>
      </c>
      <c r="C12" t="s">
        <v>73</v>
      </c>
      <c r="E12" s="3">
        <v>638500</v>
      </c>
    </row>
    <row r="13" spans="1:5" x14ac:dyDescent="0.25">
      <c r="A13" s="1">
        <v>45748</v>
      </c>
      <c r="B13" t="s">
        <v>31</v>
      </c>
      <c r="C13" t="s">
        <v>32</v>
      </c>
      <c r="E13" s="3">
        <v>1512948</v>
      </c>
    </row>
    <row r="14" spans="1:5" x14ac:dyDescent="0.25">
      <c r="A14" s="1">
        <v>45748</v>
      </c>
      <c r="B14" t="s">
        <v>33</v>
      </c>
      <c r="C14" t="s">
        <v>34</v>
      </c>
      <c r="E14" s="3">
        <v>609475</v>
      </c>
    </row>
    <row r="15" spans="1:5" x14ac:dyDescent="0.25">
      <c r="A15" s="1">
        <v>45748</v>
      </c>
      <c r="B15" t="s">
        <v>35</v>
      </c>
      <c r="C15" t="s">
        <v>36</v>
      </c>
      <c r="E15" s="3">
        <v>1005339</v>
      </c>
    </row>
    <row r="16" spans="1:5" x14ac:dyDescent="0.25">
      <c r="A16" s="1">
        <v>45748</v>
      </c>
      <c r="B16" t="s">
        <v>37</v>
      </c>
      <c r="C16" t="s">
        <v>38</v>
      </c>
      <c r="E16" s="3">
        <v>11142118</v>
      </c>
    </row>
    <row r="17" spans="1:5" x14ac:dyDescent="0.25">
      <c r="A17" s="1">
        <v>45748</v>
      </c>
      <c r="B17" t="s">
        <v>39</v>
      </c>
      <c r="C17" t="s">
        <v>40</v>
      </c>
      <c r="E17" s="3">
        <v>4600197.3600000003</v>
      </c>
    </row>
    <row r="18" spans="1:5" x14ac:dyDescent="0.25">
      <c r="A18" s="1">
        <v>45748</v>
      </c>
      <c r="B18" t="s">
        <v>41</v>
      </c>
      <c r="C18" t="s">
        <v>42</v>
      </c>
      <c r="E18" s="3">
        <v>3934651.71</v>
      </c>
    </row>
    <row r="19" spans="1:5" x14ac:dyDescent="0.25">
      <c r="A19" s="1">
        <v>45748</v>
      </c>
      <c r="B19" t="s">
        <v>43</v>
      </c>
      <c r="C19" t="s">
        <v>44</v>
      </c>
      <c r="E19" s="3">
        <v>610330</v>
      </c>
    </row>
    <row r="20" spans="1:5" x14ac:dyDescent="0.25">
      <c r="A20" s="1">
        <v>45748</v>
      </c>
      <c r="B20" t="s">
        <v>45</v>
      </c>
      <c r="C20" t="s">
        <v>46</v>
      </c>
      <c r="E20" s="3">
        <v>29930386.439999998</v>
      </c>
    </row>
    <row r="21" spans="1:5" x14ac:dyDescent="0.25">
      <c r="A21" s="1">
        <v>45748</v>
      </c>
      <c r="B21" t="s">
        <v>47</v>
      </c>
      <c r="C21" t="s">
        <v>48</v>
      </c>
      <c r="E21" s="3">
        <v>891700</v>
      </c>
    </row>
    <row r="22" spans="1:5" x14ac:dyDescent="0.25">
      <c r="A22" s="1">
        <v>45748</v>
      </c>
      <c r="B22" t="s">
        <v>49</v>
      </c>
      <c r="C22" t="s">
        <v>50</v>
      </c>
      <c r="E22" s="3">
        <v>60777</v>
      </c>
    </row>
    <row r="23" spans="1:5" x14ac:dyDescent="0.25">
      <c r="A23" s="1">
        <v>45748</v>
      </c>
      <c r="B23" t="s">
        <v>51</v>
      </c>
      <c r="C23" t="s">
        <v>52</v>
      </c>
      <c r="E23" s="3">
        <v>236323.39</v>
      </c>
    </row>
    <row r="24" spans="1:5" x14ac:dyDescent="0.25">
      <c r="A24" s="1">
        <v>45748</v>
      </c>
      <c r="B24" t="s">
        <v>53</v>
      </c>
      <c r="C24" t="s">
        <v>54</v>
      </c>
      <c r="E24" s="3">
        <v>4117300</v>
      </c>
    </row>
    <row r="25" spans="1:5" x14ac:dyDescent="0.25">
      <c r="A25" s="1">
        <v>45748</v>
      </c>
      <c r="B25" t="s">
        <v>55</v>
      </c>
      <c r="C25" t="s">
        <v>56</v>
      </c>
      <c r="E25" s="3">
        <v>3520048</v>
      </c>
    </row>
    <row r="26" spans="1:5" x14ac:dyDescent="0.25">
      <c r="A26" s="1">
        <v>45748</v>
      </c>
      <c r="B26" t="s">
        <v>57</v>
      </c>
      <c r="C26" t="s">
        <v>58</v>
      </c>
      <c r="E26" s="3">
        <v>930900</v>
      </c>
    </row>
    <row r="27" spans="1:5" x14ac:dyDescent="0.25">
      <c r="A27" s="1">
        <v>45748</v>
      </c>
      <c r="B27" t="s">
        <v>59</v>
      </c>
      <c r="C27" t="s">
        <v>60</v>
      </c>
      <c r="E27" s="3">
        <v>4040000</v>
      </c>
    </row>
    <row r="28" spans="1:5" x14ac:dyDescent="0.25">
      <c r="A28" s="1">
        <v>45748</v>
      </c>
      <c r="B28" t="s">
        <v>61</v>
      </c>
      <c r="C28" t="s">
        <v>62</v>
      </c>
      <c r="E28" s="3">
        <v>933404.74</v>
      </c>
    </row>
    <row r="29" spans="1:5" x14ac:dyDescent="0.25">
      <c r="A29" s="1">
        <v>45748</v>
      </c>
      <c r="B29" t="s">
        <v>63</v>
      </c>
      <c r="C29" t="s">
        <v>64</v>
      </c>
      <c r="E29" s="3">
        <v>74047.97</v>
      </c>
    </row>
    <row r="30" spans="1:5" x14ac:dyDescent="0.25">
      <c r="A30" s="1">
        <v>45748</v>
      </c>
      <c r="B30" t="s">
        <v>65</v>
      </c>
      <c r="C30" t="s">
        <v>66</v>
      </c>
      <c r="E30" s="3">
        <v>454000</v>
      </c>
    </row>
    <row r="31" spans="1:5" x14ac:dyDescent="0.25">
      <c r="A31" s="1">
        <v>45748</v>
      </c>
      <c r="B31" t="s">
        <v>74</v>
      </c>
      <c r="C31" t="s">
        <v>75</v>
      </c>
      <c r="E31" s="3">
        <v>120900</v>
      </c>
    </row>
    <row r="32" spans="1:5" x14ac:dyDescent="0.25">
      <c r="A32" s="1">
        <v>45748</v>
      </c>
      <c r="B32" t="s">
        <v>67</v>
      </c>
      <c r="C32" t="s">
        <v>68</v>
      </c>
      <c r="E32" s="3">
        <v>1144000</v>
      </c>
    </row>
    <row r="33" spans="1:5" x14ac:dyDescent="0.25">
      <c r="A33" s="1">
        <v>45748</v>
      </c>
      <c r="B33" t="s">
        <v>69</v>
      </c>
      <c r="C33" t="s">
        <v>70</v>
      </c>
      <c r="E33" s="3">
        <v>791800</v>
      </c>
    </row>
    <row r="34" spans="1:5" x14ac:dyDescent="0.25">
      <c r="A34" s="1">
        <v>45748</v>
      </c>
      <c r="B34" t="s">
        <v>71</v>
      </c>
      <c r="C34" t="s">
        <v>76</v>
      </c>
      <c r="E34" s="3">
        <v>1660292</v>
      </c>
    </row>
    <row r="35" spans="1:5" x14ac:dyDescent="0.25">
      <c r="A35" s="1">
        <v>45748</v>
      </c>
      <c r="B35" t="s">
        <v>77</v>
      </c>
      <c r="C35" t="s">
        <v>78</v>
      </c>
      <c r="E35" s="3">
        <v>939614.26</v>
      </c>
    </row>
    <row r="36" spans="1:5" x14ac:dyDescent="0.25">
      <c r="A36" s="1">
        <v>45748</v>
      </c>
      <c r="B36" t="s">
        <v>79</v>
      </c>
      <c r="C36" t="s">
        <v>80</v>
      </c>
      <c r="E36" s="3">
        <v>319781.51</v>
      </c>
    </row>
    <row r="37" spans="1:5" x14ac:dyDescent="0.25">
      <c r="A37" s="1">
        <v>45748</v>
      </c>
      <c r="B37" t="s">
        <v>81</v>
      </c>
      <c r="C37" t="s">
        <v>82</v>
      </c>
      <c r="E37" s="3">
        <v>139073.79</v>
      </c>
    </row>
    <row r="38" spans="1:5" x14ac:dyDescent="0.25">
      <c r="A38" s="1">
        <v>45748</v>
      </c>
      <c r="B38" t="s">
        <v>83</v>
      </c>
      <c r="C38" t="s">
        <v>84</v>
      </c>
      <c r="E38" s="3">
        <v>59750.89</v>
      </c>
    </row>
    <row r="39" spans="1:5" x14ac:dyDescent="0.25">
      <c r="A39" s="1">
        <v>45748</v>
      </c>
      <c r="B39" t="s">
        <v>85</v>
      </c>
      <c r="C39" t="s">
        <v>86</v>
      </c>
      <c r="E39" s="3">
        <v>121474.21</v>
      </c>
    </row>
    <row r="40" spans="1:5" x14ac:dyDescent="0.25">
      <c r="A40" s="1">
        <v>45748</v>
      </c>
      <c r="B40" t="s">
        <v>87</v>
      </c>
      <c r="C40" t="s">
        <v>88</v>
      </c>
      <c r="E40" s="3">
        <v>344126.07</v>
      </c>
    </row>
    <row r="41" spans="1:5" x14ac:dyDescent="0.25">
      <c r="A41" s="1">
        <v>45748</v>
      </c>
      <c r="B41" t="s">
        <v>89</v>
      </c>
      <c r="C41" t="s">
        <v>90</v>
      </c>
      <c r="E41" s="3">
        <v>80000</v>
      </c>
    </row>
    <row r="42" spans="1:5" x14ac:dyDescent="0.25">
      <c r="A42" s="1">
        <v>45748</v>
      </c>
      <c r="B42" t="s">
        <v>91</v>
      </c>
      <c r="C42" t="s">
        <v>92</v>
      </c>
      <c r="E42" s="3">
        <v>10426.399999999994</v>
      </c>
    </row>
    <row r="43" spans="1:5" x14ac:dyDescent="0.25">
      <c r="A43" s="1">
        <v>45748</v>
      </c>
      <c r="B43" t="s">
        <v>93</v>
      </c>
      <c r="C43" t="s">
        <v>94</v>
      </c>
      <c r="E43" s="3">
        <v>36801</v>
      </c>
    </row>
    <row r="44" spans="1:5" x14ac:dyDescent="0.25">
      <c r="A44" s="1">
        <v>45748</v>
      </c>
      <c r="B44" t="s">
        <v>95</v>
      </c>
      <c r="C44" t="s">
        <v>96</v>
      </c>
      <c r="E44" s="3">
        <v>24700</v>
      </c>
    </row>
    <row r="45" spans="1:5" x14ac:dyDescent="0.25">
      <c r="A45" s="1">
        <v>45748</v>
      </c>
      <c r="B45" t="s">
        <v>97</v>
      </c>
      <c r="C45" t="s">
        <v>98</v>
      </c>
      <c r="E45" s="3">
        <v>33100</v>
      </c>
    </row>
    <row r="46" spans="1:5" x14ac:dyDescent="0.25">
      <c r="A46" s="1">
        <v>45748</v>
      </c>
      <c r="B46" t="s">
        <v>99</v>
      </c>
      <c r="C46" t="s">
        <v>100</v>
      </c>
      <c r="E46" s="3">
        <v>4251950</v>
      </c>
    </row>
    <row r="47" spans="1:5" x14ac:dyDescent="0.25">
      <c r="A47" s="1">
        <v>45748</v>
      </c>
      <c r="B47" t="s">
        <v>101</v>
      </c>
      <c r="C47" t="s">
        <v>102</v>
      </c>
      <c r="E47" s="3">
        <v>2100</v>
      </c>
    </row>
    <row r="48" spans="1:5" x14ac:dyDescent="0.25">
      <c r="A48" s="1">
        <v>45748</v>
      </c>
      <c r="B48" t="s">
        <v>103</v>
      </c>
      <c r="C48" t="s">
        <v>104</v>
      </c>
      <c r="E48" s="3">
        <v>16400</v>
      </c>
    </row>
    <row r="49" spans="1:5" x14ac:dyDescent="0.25">
      <c r="A49" s="1">
        <v>45748</v>
      </c>
      <c r="B49" t="s">
        <v>105</v>
      </c>
      <c r="C49" t="s">
        <v>106</v>
      </c>
      <c r="E49" s="3">
        <v>37984.92</v>
      </c>
    </row>
    <row r="50" spans="1:5" x14ac:dyDescent="0.25">
      <c r="A50" s="1">
        <v>45748</v>
      </c>
      <c r="B50" t="s">
        <v>107</v>
      </c>
      <c r="C50" t="s">
        <v>108</v>
      </c>
      <c r="E50" s="3">
        <v>1239000</v>
      </c>
    </row>
    <row r="51" spans="1:5" x14ac:dyDescent="0.25">
      <c r="A51" s="1">
        <v>45748</v>
      </c>
      <c r="B51" t="s">
        <v>109</v>
      </c>
      <c r="C51" t="s">
        <v>110</v>
      </c>
      <c r="E51" s="3">
        <v>7000</v>
      </c>
    </row>
    <row r="52" spans="1:5" x14ac:dyDescent="0.25">
      <c r="A52" s="1">
        <v>45748</v>
      </c>
      <c r="B52" t="s">
        <v>111</v>
      </c>
      <c r="C52" t="s">
        <v>112</v>
      </c>
      <c r="E52" s="3">
        <v>2000</v>
      </c>
    </row>
    <row r="53" spans="1:5" x14ac:dyDescent="0.25">
      <c r="A53" s="1"/>
    </row>
    <row r="54" spans="1:5" x14ac:dyDescent="0.25">
      <c r="A54" s="1"/>
    </row>
    <row r="55" spans="1:5" x14ac:dyDescent="0.25">
      <c r="A55" s="1"/>
    </row>
    <row r="56" spans="1:5" x14ac:dyDescent="0.25">
      <c r="A56" s="1"/>
    </row>
    <row r="57" spans="1:5" x14ac:dyDescent="0.25">
      <c r="A57" s="1"/>
    </row>
    <row r="58" spans="1:5" x14ac:dyDescent="0.25">
      <c r="A58" s="1"/>
    </row>
    <row r="59" spans="1:5" x14ac:dyDescent="0.25">
      <c r="A59" s="1"/>
    </row>
    <row r="60" spans="1:5" x14ac:dyDescent="0.25">
      <c r="A60" s="1"/>
    </row>
    <row r="61" spans="1:5" x14ac:dyDescent="0.25">
      <c r="A61" s="1"/>
    </row>
    <row r="62" spans="1:5" x14ac:dyDescent="0.25">
      <c r="A62" s="1"/>
    </row>
    <row r="63" spans="1:5" x14ac:dyDescent="0.25">
      <c r="A63" s="1"/>
    </row>
    <row r="64" spans="1:5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</sheetData>
  <autoFilter ref="A1:E1" xr:uid="{C8491457-4F08-4C15-AB66-1D85D30B4CE7}">
    <sortState xmlns:xlrd2="http://schemas.microsoft.com/office/spreadsheetml/2017/richdata2" ref="A2:E52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Roberts</dc:creator>
  <cp:lastModifiedBy>Nicole Leasure</cp:lastModifiedBy>
  <dcterms:created xsi:type="dcterms:W3CDTF">2025-06-18T18:18:53Z</dcterms:created>
  <dcterms:modified xsi:type="dcterms:W3CDTF">2025-09-25T16:50:37Z</dcterms:modified>
</cp:coreProperties>
</file>