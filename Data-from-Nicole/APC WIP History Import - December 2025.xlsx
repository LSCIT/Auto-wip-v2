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K:\LCG - Combined\2025 WIP Automation\APC\"/>
    </mc:Choice>
  </mc:AlternateContent>
  <xr:revisionPtr revIDLastSave="0" documentId="13_ncr:1_{8D95F38B-0CAF-4C7A-9CE9-196D6E1E4FEE}" xr6:coauthVersionLast="47" xr6:coauthVersionMax="47" xr10:uidLastSave="{00000000-0000-0000-0000-000000000000}"/>
  <bookViews>
    <workbookView xWindow="38280" yWindow="-120" windowWidth="38640" windowHeight="21120" xr2:uid="{80AF75E5-685B-48E4-9FF6-985265D1D80D}"/>
  </bookViews>
  <sheets>
    <sheet name="Revenue" sheetId="1" r:id="rId1"/>
    <sheet name="Cost" sheetId="2" r:id="rId2"/>
  </sheets>
  <definedNames>
    <definedName name="_xlnm._FilterDatabase" localSheetId="1" hidden="1">Cost!$A$1:$G$230</definedName>
    <definedName name="_xlnm._FilterDatabase" localSheetId="0" hidden="1">Revenue!$A$1:$G$227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" i="2" l="1"/>
  <c r="B41" i="2"/>
  <c r="C41" i="2"/>
  <c r="A42" i="2"/>
  <c r="B42" i="2"/>
  <c r="C42" i="2"/>
  <c r="A43" i="2"/>
  <c r="B43" i="2"/>
  <c r="C43" i="2"/>
  <c r="A44" i="2"/>
  <c r="B44" i="2"/>
  <c r="C44" i="2"/>
  <c r="A45" i="2"/>
  <c r="B45" i="2"/>
  <c r="C45" i="2"/>
  <c r="A3" i="2"/>
  <c r="B3" i="2"/>
  <c r="C3" i="2"/>
  <c r="A4" i="2"/>
  <c r="B4" i="2"/>
  <c r="C4" i="2"/>
  <c r="A5" i="2"/>
  <c r="B5" i="2"/>
  <c r="C5" i="2"/>
  <c r="A6" i="2"/>
  <c r="B6" i="2"/>
  <c r="C6" i="2"/>
  <c r="A7" i="2"/>
  <c r="B7" i="2"/>
  <c r="C7" i="2"/>
  <c r="A8" i="2"/>
  <c r="B8" i="2"/>
  <c r="C8" i="2"/>
  <c r="A9" i="2"/>
  <c r="B9" i="2"/>
  <c r="C9" i="2"/>
  <c r="A10" i="2"/>
  <c r="B10" i="2"/>
  <c r="C10" i="2"/>
  <c r="A11" i="2"/>
  <c r="B11" i="2"/>
  <c r="C11" i="2"/>
  <c r="A12" i="2"/>
  <c r="B12" i="2"/>
  <c r="C12" i="2"/>
  <c r="A13" i="2"/>
  <c r="B13" i="2"/>
  <c r="C13" i="2"/>
  <c r="A14" i="2"/>
  <c r="B14" i="2"/>
  <c r="C14" i="2"/>
  <c r="A15" i="2"/>
  <c r="B15" i="2"/>
  <c r="C15" i="2"/>
  <c r="A16" i="2"/>
  <c r="B16" i="2"/>
  <c r="C16" i="2"/>
  <c r="A17" i="2"/>
  <c r="B17" i="2"/>
  <c r="C17" i="2"/>
  <c r="A18" i="2"/>
  <c r="B18" i="2"/>
  <c r="C18" i="2"/>
  <c r="A19" i="2"/>
  <c r="B19" i="2"/>
  <c r="C19" i="2"/>
  <c r="A20" i="2"/>
  <c r="B20" i="2"/>
  <c r="C20" i="2"/>
  <c r="A21" i="2"/>
  <c r="B21" i="2"/>
  <c r="C21" i="2"/>
  <c r="A22" i="2"/>
  <c r="B22" i="2"/>
  <c r="C22" i="2"/>
  <c r="A23" i="2"/>
  <c r="B23" i="2"/>
  <c r="C23" i="2"/>
  <c r="A24" i="2"/>
  <c r="B24" i="2"/>
  <c r="C24" i="2"/>
  <c r="A25" i="2"/>
  <c r="B25" i="2"/>
  <c r="C25" i="2"/>
  <c r="A26" i="2"/>
  <c r="B26" i="2"/>
  <c r="C26" i="2"/>
  <c r="A27" i="2"/>
  <c r="B27" i="2"/>
  <c r="C27" i="2"/>
  <c r="A28" i="2"/>
  <c r="B28" i="2"/>
  <c r="C28" i="2"/>
  <c r="A29" i="2"/>
  <c r="B29" i="2"/>
  <c r="C29" i="2"/>
  <c r="A30" i="2"/>
  <c r="B30" i="2"/>
  <c r="C30" i="2"/>
  <c r="A31" i="2"/>
  <c r="B31" i="2"/>
  <c r="C31" i="2"/>
  <c r="A32" i="2"/>
  <c r="B32" i="2"/>
  <c r="C32" i="2"/>
  <c r="A33" i="2"/>
  <c r="B33" i="2"/>
  <c r="C33" i="2"/>
  <c r="A34" i="2"/>
  <c r="B34" i="2"/>
  <c r="C34" i="2"/>
  <c r="A35" i="2"/>
  <c r="B35" i="2"/>
  <c r="C35" i="2"/>
  <c r="A36" i="2"/>
  <c r="B36" i="2"/>
  <c r="C36" i="2"/>
  <c r="A37" i="2"/>
  <c r="B37" i="2"/>
  <c r="C37" i="2"/>
  <c r="A38" i="2"/>
  <c r="B38" i="2"/>
  <c r="C38" i="2"/>
  <c r="A39" i="2"/>
  <c r="B39" i="2"/>
  <c r="C39" i="2"/>
  <c r="A40" i="2"/>
  <c r="B40" i="2"/>
  <c r="C40" i="2"/>
  <c r="C2" i="2" l="1"/>
  <c r="B2" i="2"/>
  <c r="A2" i="2"/>
</calcChain>
</file>

<file path=xl/sharedStrings.xml><?xml version="1.0" encoding="utf-8"?>
<sst xmlns="http://schemas.openxmlformats.org/spreadsheetml/2006/main" count="57" uniqueCount="56">
  <si>
    <t>Month</t>
  </si>
  <si>
    <t>Contract</t>
  </si>
  <si>
    <t>Description</t>
  </si>
  <si>
    <t>Job</t>
  </si>
  <si>
    <t>Job Desc</t>
  </si>
  <si>
    <t>Bonus Profit</t>
  </si>
  <si>
    <t>GAAP Overide Revenue Projection</t>
  </si>
  <si>
    <t>Ops Overide Revenue Projection</t>
  </si>
  <si>
    <t>GAAP Overide Cost Projection</t>
  </si>
  <si>
    <t>Ops Overide Cost Projection</t>
  </si>
  <si>
    <t>Anticipated Completion Date</t>
  </si>
  <si>
    <t>Sturgeon Electric - Ashlan Ave. Corridor</t>
  </si>
  <si>
    <t>City of Merced - Community Park 42</t>
  </si>
  <si>
    <t>Madera County - Ave 25 Bridge Replacement Proj. at Ash Slough</t>
  </si>
  <si>
    <t>City of Porterville - Tule River Parkway Phase 3</t>
  </si>
  <si>
    <t>City of Fresno -  Mariposa Plaza Renovation</t>
  </si>
  <si>
    <t>City of Kerman - Kerman Northwest Park</t>
  </si>
  <si>
    <t>G.L. Associates Bruno - Clovis VA Parking Expansion</t>
  </si>
  <si>
    <t>WM Lyles - Groundwater Blending &amp; Arsenic Treatment Project</t>
  </si>
  <si>
    <t>City of Fresno - Connecting the Winchell</t>
  </si>
  <si>
    <t>A-C Electric Co. - Kaiser Fresno Modular MOB-Offsite</t>
  </si>
  <si>
    <t>County of Tulare - M109 Over White River Bridge Replacement Project</t>
  </si>
  <si>
    <t>City of Fresno - Woodward &amp; Roeding Tot Lots &amp; ADA Accessibility Improvements</t>
  </si>
  <si>
    <t>City of Fresno - BPMP Phase II</t>
  </si>
  <si>
    <t>City of Fresno - South Peach Park Project</t>
  </si>
  <si>
    <t xml:space="preserve">A-C Electric Co. - Friant I.T.S. Phase 2 </t>
  </si>
  <si>
    <t>City of Merced - G Street Bridge Railing Repair</t>
  </si>
  <si>
    <t>City of Fresno - Barstow and Bond Traffic Signal</t>
  </si>
  <si>
    <t>City of Merced - Bob Hart Square Expansion</t>
  </si>
  <si>
    <t>City of Merced - Main Street Directional (REBID)</t>
  </si>
  <si>
    <t>NESM - Amazon ADA Improvements</t>
  </si>
  <si>
    <t>APC Office Admin/Overhead</t>
  </si>
  <si>
    <t>APC Yard/Building</t>
  </si>
  <si>
    <t>APC Warranty Work</t>
  </si>
  <si>
    <t>APC Estimating</t>
  </si>
  <si>
    <t>APC Equipment</t>
  </si>
  <si>
    <t>C3 Electric - Lake and Sherwood Traffic Signal</t>
  </si>
  <si>
    <t>HPS Mechanical - Well 7 TCP Mitigation Project</t>
  </si>
  <si>
    <t>City of Fresno - Dolores Huerta Park</t>
  </si>
  <si>
    <t>WML Intercompany L&amp;E</t>
  </si>
  <si>
    <t>WM Lyles - Water Treatment Plant Replacement</t>
  </si>
  <si>
    <t>A-C Electric Co. - Clovis Avenue Adaptive Traffic Signal Sychronization Project</t>
  </si>
  <si>
    <t xml:space="preserve">APC Legal </t>
  </si>
  <si>
    <t>LDI Intercompany L&amp;E</t>
  </si>
  <si>
    <t>A-C Electric Co. - Reed Avenue and Reedley College Driveway Traffic Signal</t>
  </si>
  <si>
    <t>Showtime Concrete, Inc. - Kaiser Permanente Cypress Charging Station</t>
  </si>
  <si>
    <t>City of Fresno - Radio Park Renovation</t>
  </si>
  <si>
    <t xml:space="preserve">City of Sanger - Bethel Avenue and Almond Avenue Traffic Signal Improvements </t>
  </si>
  <si>
    <t>Mid Cal Pipeline &amp; Utilities Inc. - Craig Dr. Sewer</t>
  </si>
  <si>
    <t>NESM Intercompany L&amp;E</t>
  </si>
  <si>
    <t>APC Yard Improvements - Equipment Building</t>
  </si>
  <si>
    <t>APC Yard Improvements - Ponding Basin</t>
  </si>
  <si>
    <t>APC Yard Improvements - Equipment Shed</t>
  </si>
  <si>
    <t>APC Yard Improvements - Shop Storage</t>
  </si>
  <si>
    <t>Showtime Concrete - Kaiser Selma Driveway Approaches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</si>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</sst>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22" fontId="0" fillId="0" borderId="0" xfId="0" applyNumberFormat="1"/>
    <xf numFmtId="43" fontId="0" fillId="0" borderId="0" xfId="1" applyFont="1"/>
    <xf numFmtId="14" fontId="0" fillId="0" borderId="0" xfId="0" applyNumberFormat="1"/>
    <xf numFmtId="43" fontId="0" fillId="0" borderId="0" xfId="1" applyFont="1" applyBorder="1"/>
    <xf numFmtId="164" fontId="0" fillId="0" borderId="0" xfId="0" applyNumberFormat="1"/>
    <xf numFmtId="14" fontId="0" fillId="0" borderId="0" xfId="0" applyNumberForma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207B-BC87-470D-A57A-3FDC5F58D420}">
  <dimension ref="A1:P227"/>
  <sheetViews>
    <sheetView tabSelected="1" workbookViewId="0"/>
  </sheetViews>
  <sheetFormatPr defaultRowHeight="15" x14ac:dyDescent="0.25"/>
  <cols>
    <col min="1" max="1" width="14.85546875" customWidth="1"/>
    <col min="2" max="2" width="9.85546875" customWidth="1"/>
    <col min="3" max="3" width="72.5703125" bestFit="1" customWidth="1"/>
    <col min="4" max="4" width="30.7109375" bestFit="1" customWidth="1"/>
    <col min="5" max="5" width="29.42578125" bestFit="1" customWidth="1"/>
    <col min="6" max="6" width="13.28515625" bestFit="1" customWidth="1"/>
    <col min="7" max="7" width="26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5</v>
      </c>
      <c r="G1" t="s">
        <v>10</v>
      </c>
    </row>
    <row r="2" spans="1:16" x14ac:dyDescent="0.25">
      <c r="A2" s="1">
        <v>45992</v>
      </c>
      <c r="B2" s="5">
        <v>21.210599999999999</v>
      </c>
      <c r="C2" t="s">
        <v>11</v>
      </c>
      <c r="D2" s="2">
        <v>120553.54</v>
      </c>
      <c r="E2" s="2">
        <v>138609</v>
      </c>
      <c r="F2" s="2">
        <v>860.6</v>
      </c>
      <c r="G2" s="3">
        <v>46081</v>
      </c>
    </row>
    <row r="3" spans="1:16" x14ac:dyDescent="0.25">
      <c r="A3" s="1">
        <v>45992</v>
      </c>
      <c r="B3" s="5">
        <v>21.230399999999999</v>
      </c>
      <c r="C3" t="s">
        <v>12</v>
      </c>
      <c r="D3" s="2">
        <v>10996795.850000001</v>
      </c>
      <c r="E3" s="2">
        <v>10996795.850000001</v>
      </c>
      <c r="F3" s="2">
        <v>955128</v>
      </c>
      <c r="G3" s="3">
        <v>46203</v>
      </c>
      <c r="P3" s="3"/>
    </row>
    <row r="4" spans="1:16" x14ac:dyDescent="0.25">
      <c r="A4" s="1">
        <v>45992</v>
      </c>
      <c r="B4" s="5">
        <v>21.231000000000002</v>
      </c>
      <c r="C4" t="s">
        <v>14</v>
      </c>
      <c r="D4" s="2">
        <v>3543296.49</v>
      </c>
      <c r="E4" s="2">
        <v>3543296.49</v>
      </c>
      <c r="F4" s="2">
        <v>404137</v>
      </c>
      <c r="G4" s="3">
        <v>46053</v>
      </c>
      <c r="P4" s="3"/>
    </row>
    <row r="5" spans="1:16" x14ac:dyDescent="0.25">
      <c r="A5" s="1">
        <v>45992</v>
      </c>
      <c r="B5" s="5">
        <v>21.231200000000001</v>
      </c>
      <c r="C5" t="s">
        <v>15</v>
      </c>
      <c r="D5" s="2">
        <v>2832729.95</v>
      </c>
      <c r="E5" s="2">
        <v>2832729.95</v>
      </c>
      <c r="F5" s="2">
        <v>157930</v>
      </c>
      <c r="G5" s="3">
        <v>46081</v>
      </c>
      <c r="P5" s="3"/>
    </row>
    <row r="6" spans="1:16" x14ac:dyDescent="0.25">
      <c r="A6" s="1">
        <v>45992</v>
      </c>
      <c r="B6" s="5">
        <v>21.231400000000001</v>
      </c>
      <c r="C6" t="s">
        <v>17</v>
      </c>
      <c r="D6" s="4">
        <v>1294297</v>
      </c>
      <c r="E6" s="4">
        <v>1294297</v>
      </c>
      <c r="F6" s="4">
        <v>0</v>
      </c>
      <c r="G6" s="6" t="s">
        <v>55</v>
      </c>
      <c r="P6" s="3"/>
    </row>
    <row r="7" spans="1:16" x14ac:dyDescent="0.25">
      <c r="A7" s="1">
        <v>45992</v>
      </c>
      <c r="B7" s="5">
        <v>21.232299999999999</v>
      </c>
      <c r="C7" t="s">
        <v>40</v>
      </c>
      <c r="D7" s="2">
        <v>1912857.82</v>
      </c>
      <c r="E7" s="2">
        <v>1912857.82</v>
      </c>
      <c r="F7" s="2">
        <v>506428</v>
      </c>
      <c r="G7" s="3">
        <v>46173</v>
      </c>
    </row>
    <row r="8" spans="1:16" x14ac:dyDescent="0.25">
      <c r="A8" s="1">
        <v>45992</v>
      </c>
      <c r="B8" s="5">
        <v>21.2407</v>
      </c>
      <c r="C8" t="s">
        <v>24</v>
      </c>
      <c r="D8" s="4">
        <v>9700445.0500000007</v>
      </c>
      <c r="E8" s="4">
        <v>9700445.0500000007</v>
      </c>
      <c r="F8" s="4">
        <v>282981.5</v>
      </c>
      <c r="G8" s="3">
        <v>46295</v>
      </c>
      <c r="P8" s="3"/>
    </row>
    <row r="9" spans="1:16" x14ac:dyDescent="0.25">
      <c r="A9" s="1">
        <v>45992</v>
      </c>
      <c r="B9" s="5">
        <v>21.2408</v>
      </c>
      <c r="C9" t="s">
        <v>25</v>
      </c>
      <c r="D9" s="2">
        <v>130099.7</v>
      </c>
      <c r="E9" s="2">
        <v>130099.7</v>
      </c>
      <c r="F9" s="2">
        <v>29812</v>
      </c>
      <c r="G9" s="3">
        <v>46081</v>
      </c>
      <c r="P9" s="3"/>
    </row>
    <row r="10" spans="1:16" x14ac:dyDescent="0.25">
      <c r="A10" s="1">
        <v>45992</v>
      </c>
      <c r="B10" s="5">
        <v>21.241</v>
      </c>
      <c r="C10" t="s">
        <v>27</v>
      </c>
      <c r="D10" s="2">
        <v>1320507</v>
      </c>
      <c r="E10" s="2">
        <v>1320507</v>
      </c>
      <c r="F10" s="2">
        <v>155660.4</v>
      </c>
      <c r="G10" s="3">
        <v>46081</v>
      </c>
      <c r="P10" s="3"/>
    </row>
    <row r="11" spans="1:16" x14ac:dyDescent="0.25">
      <c r="A11" s="1">
        <v>45992</v>
      </c>
      <c r="B11" s="5">
        <v>21.241099999999999</v>
      </c>
      <c r="C11" t="s">
        <v>28</v>
      </c>
      <c r="D11" s="2">
        <v>3460630.45</v>
      </c>
      <c r="E11" s="2">
        <v>3460630.45</v>
      </c>
      <c r="F11" s="2">
        <v>166402</v>
      </c>
      <c r="G11" s="3">
        <v>46265</v>
      </c>
      <c r="P11" s="3"/>
    </row>
    <row r="12" spans="1:16" x14ac:dyDescent="0.25">
      <c r="A12" s="1">
        <v>45992</v>
      </c>
      <c r="B12" s="5">
        <v>21.241199999999999</v>
      </c>
      <c r="C12" t="s">
        <v>29</v>
      </c>
      <c r="D12" s="2">
        <v>1289873</v>
      </c>
      <c r="E12" s="2">
        <v>1289873</v>
      </c>
      <c r="F12" s="2">
        <v>248547.59999999998</v>
      </c>
      <c r="G12" s="3">
        <v>46053</v>
      </c>
      <c r="P12" s="3"/>
    </row>
    <row r="13" spans="1:16" x14ac:dyDescent="0.25">
      <c r="A13" s="1">
        <v>45992</v>
      </c>
      <c r="B13" s="5">
        <v>21.2502</v>
      </c>
      <c r="C13" t="s">
        <v>37</v>
      </c>
      <c r="D13" s="2">
        <v>332999.40000000002</v>
      </c>
      <c r="E13" s="2">
        <v>332999.40000000002</v>
      </c>
      <c r="F13" s="2">
        <v>0</v>
      </c>
      <c r="G13" s="3">
        <v>46112</v>
      </c>
      <c r="P13" s="3"/>
    </row>
    <row r="14" spans="1:16" x14ac:dyDescent="0.25">
      <c r="A14" s="1">
        <v>45992</v>
      </c>
      <c r="B14" s="5">
        <v>21.250299999999999</v>
      </c>
      <c r="C14" t="s">
        <v>38</v>
      </c>
      <c r="D14" s="2">
        <v>9987006.4499999993</v>
      </c>
      <c r="E14" s="2">
        <v>9987006.4499999993</v>
      </c>
      <c r="F14" s="2">
        <v>183540</v>
      </c>
      <c r="G14" s="3">
        <v>46234</v>
      </c>
      <c r="P14" s="3"/>
    </row>
    <row r="15" spans="1:16" x14ac:dyDescent="0.25">
      <c r="A15" s="1">
        <v>45992</v>
      </c>
      <c r="B15" s="5">
        <v>21.250399999999999</v>
      </c>
      <c r="C15" t="s">
        <v>41</v>
      </c>
      <c r="D15" s="2">
        <v>168405</v>
      </c>
      <c r="E15" s="2">
        <v>168405</v>
      </c>
      <c r="F15" s="2">
        <v>0</v>
      </c>
      <c r="G15" s="3">
        <v>46142</v>
      </c>
      <c r="P15" s="3"/>
    </row>
    <row r="16" spans="1:16" x14ac:dyDescent="0.25">
      <c r="A16" s="1">
        <v>45992</v>
      </c>
      <c r="B16" s="5">
        <v>21.250499999999999</v>
      </c>
      <c r="C16" t="s">
        <v>44</v>
      </c>
      <c r="D16" s="2">
        <v>218115</v>
      </c>
      <c r="E16" s="2">
        <v>218115</v>
      </c>
      <c r="F16" s="2">
        <v>0</v>
      </c>
      <c r="G16" s="3">
        <v>46112</v>
      </c>
      <c r="P16" s="3"/>
    </row>
    <row r="17" spans="1:16" x14ac:dyDescent="0.25">
      <c r="A17" s="1">
        <v>45992</v>
      </c>
      <c r="B17" s="5">
        <v>21.250699999999998</v>
      </c>
      <c r="C17" t="s">
        <v>46</v>
      </c>
      <c r="D17" s="2">
        <v>9177239.8000000007</v>
      </c>
      <c r="E17" s="2">
        <v>9177239.8000000007</v>
      </c>
      <c r="F17" s="2">
        <v>0</v>
      </c>
      <c r="G17" s="3">
        <v>46418</v>
      </c>
      <c r="P17" s="3"/>
    </row>
    <row r="18" spans="1:16" x14ac:dyDescent="0.25">
      <c r="A18" s="1">
        <v>45992</v>
      </c>
      <c r="B18" s="5">
        <v>21.250900000000001</v>
      </c>
      <c r="C18" t="s">
        <v>47</v>
      </c>
      <c r="D18" s="2">
        <v>699952</v>
      </c>
      <c r="E18" s="2">
        <v>699952</v>
      </c>
      <c r="F18" s="2">
        <v>0</v>
      </c>
      <c r="G18" s="6">
        <v>46203</v>
      </c>
      <c r="P18" s="3"/>
    </row>
    <row r="19" spans="1:16" x14ac:dyDescent="0.25">
      <c r="A19" s="1">
        <v>45992</v>
      </c>
      <c r="B19" s="5">
        <v>20.257100000000001</v>
      </c>
      <c r="C19" t="s">
        <v>50</v>
      </c>
      <c r="D19" s="2">
        <v>0</v>
      </c>
      <c r="E19" s="2"/>
      <c r="F19" s="2">
        <v>-10673.67</v>
      </c>
      <c r="G19" s="6">
        <v>46053</v>
      </c>
      <c r="P19" s="3"/>
    </row>
    <row r="20" spans="1:16" x14ac:dyDescent="0.25">
      <c r="A20" s="1">
        <v>45992</v>
      </c>
      <c r="B20" s="5">
        <v>20.257200000000001</v>
      </c>
      <c r="C20" t="s">
        <v>51</v>
      </c>
      <c r="D20" s="2">
        <v>0</v>
      </c>
      <c r="E20" s="2"/>
      <c r="F20" s="2">
        <v>-1656.39</v>
      </c>
      <c r="G20" s="3">
        <v>46112</v>
      </c>
      <c r="P20" s="3"/>
    </row>
    <row r="21" spans="1:16" x14ac:dyDescent="0.25">
      <c r="A21" s="1">
        <v>45992</v>
      </c>
      <c r="B21" s="5">
        <v>20.257300000000001</v>
      </c>
      <c r="C21" t="s">
        <v>52</v>
      </c>
      <c r="D21" s="2">
        <v>0</v>
      </c>
      <c r="E21" s="2"/>
      <c r="F21" s="2">
        <v>-347.51</v>
      </c>
      <c r="G21" s="3">
        <v>46081</v>
      </c>
      <c r="P21" s="3"/>
    </row>
    <row r="22" spans="1:16" x14ac:dyDescent="0.25">
      <c r="A22" s="1">
        <v>45992</v>
      </c>
      <c r="B22" s="5">
        <v>20.257400000000001</v>
      </c>
      <c r="C22" t="s">
        <v>53</v>
      </c>
      <c r="D22" s="4">
        <v>0</v>
      </c>
      <c r="E22" s="4"/>
      <c r="F22" s="4">
        <v>-2373.7800000000002</v>
      </c>
      <c r="G22" s="3">
        <v>46053</v>
      </c>
      <c r="P22" s="3"/>
    </row>
    <row r="23" spans="1:16" x14ac:dyDescent="0.25">
      <c r="A23" s="1">
        <v>45992</v>
      </c>
      <c r="B23" s="5">
        <v>21.230699999999999</v>
      </c>
      <c r="C23" t="s">
        <v>13</v>
      </c>
      <c r="D23" s="2">
        <v>5192801.8</v>
      </c>
      <c r="E23" s="2">
        <v>5192801.8</v>
      </c>
      <c r="F23" s="2">
        <v>863269.00999999978</v>
      </c>
      <c r="G23" s="3">
        <v>45838</v>
      </c>
      <c r="P23" s="3"/>
    </row>
    <row r="24" spans="1:16" x14ac:dyDescent="0.25">
      <c r="A24" s="1">
        <v>45992</v>
      </c>
      <c r="B24" s="5">
        <v>21.231300000000001</v>
      </c>
      <c r="C24" t="s">
        <v>16</v>
      </c>
      <c r="D24" s="2">
        <v>700013.94</v>
      </c>
      <c r="E24" s="2">
        <v>700013.94</v>
      </c>
      <c r="F24" s="2">
        <v>157867.49</v>
      </c>
      <c r="G24" s="3">
        <v>45961</v>
      </c>
    </row>
    <row r="25" spans="1:16" x14ac:dyDescent="0.25">
      <c r="A25" s="1">
        <v>45992</v>
      </c>
      <c r="B25" s="5">
        <v>21.2316</v>
      </c>
      <c r="C25" t="s">
        <v>18</v>
      </c>
      <c r="D25" s="2">
        <v>1603209.73</v>
      </c>
      <c r="E25" s="2">
        <v>1603209.73</v>
      </c>
      <c r="F25" s="2">
        <v>172112.29000000004</v>
      </c>
      <c r="G25" s="3">
        <v>45838</v>
      </c>
    </row>
    <row r="26" spans="1:16" x14ac:dyDescent="0.25">
      <c r="A26" s="1">
        <v>45992</v>
      </c>
      <c r="B26" s="5">
        <v>21.2317</v>
      </c>
      <c r="C26" t="s">
        <v>19</v>
      </c>
      <c r="D26" s="2">
        <v>1815311.42</v>
      </c>
      <c r="E26" s="2">
        <v>1815311.42</v>
      </c>
      <c r="F26" s="2">
        <v>255551.53000000003</v>
      </c>
      <c r="G26" s="3">
        <v>45838</v>
      </c>
    </row>
    <row r="27" spans="1:16" x14ac:dyDescent="0.25">
      <c r="A27" s="1">
        <v>45992</v>
      </c>
      <c r="B27" s="5">
        <v>21.232199999999999</v>
      </c>
      <c r="C27" t="s">
        <v>20</v>
      </c>
      <c r="D27" s="2">
        <v>218864.46</v>
      </c>
      <c r="E27" s="2">
        <v>218864.46</v>
      </c>
      <c r="F27" s="2">
        <v>70831.34</v>
      </c>
      <c r="G27" s="3">
        <v>45838</v>
      </c>
    </row>
    <row r="28" spans="1:16" x14ac:dyDescent="0.25">
      <c r="A28" s="1">
        <v>45992</v>
      </c>
      <c r="B28" s="5">
        <v>21.240100000000002</v>
      </c>
      <c r="C28" t="s">
        <v>21</v>
      </c>
      <c r="D28" s="2">
        <v>5256236.75</v>
      </c>
      <c r="E28" s="2">
        <v>5256236.75</v>
      </c>
      <c r="F28" s="2">
        <v>1545733.48</v>
      </c>
      <c r="G28" s="3">
        <v>45838</v>
      </c>
    </row>
    <row r="29" spans="1:16" x14ac:dyDescent="0.25">
      <c r="A29" s="1">
        <v>45992</v>
      </c>
      <c r="B29" s="5">
        <v>21.240300000000001</v>
      </c>
      <c r="C29" t="s">
        <v>22</v>
      </c>
      <c r="D29" s="2">
        <v>2001595.3</v>
      </c>
      <c r="E29" s="2">
        <v>2001595.3</v>
      </c>
      <c r="F29" s="2">
        <v>338795.39000000013</v>
      </c>
      <c r="G29" s="3">
        <v>45838</v>
      </c>
    </row>
    <row r="30" spans="1:16" x14ac:dyDescent="0.25">
      <c r="A30" s="1">
        <v>45992</v>
      </c>
      <c r="B30" s="5">
        <v>21.240600000000001</v>
      </c>
      <c r="C30" t="s">
        <v>23</v>
      </c>
      <c r="D30" s="2">
        <v>734312.72</v>
      </c>
      <c r="E30" s="2">
        <v>734312.72</v>
      </c>
      <c r="F30" s="2">
        <v>280244</v>
      </c>
      <c r="G30" s="3">
        <v>45777</v>
      </c>
    </row>
    <row r="31" spans="1:16" x14ac:dyDescent="0.25">
      <c r="A31" s="1">
        <v>45992</v>
      </c>
      <c r="B31" s="5">
        <v>21.2409</v>
      </c>
      <c r="C31" t="s">
        <v>26</v>
      </c>
      <c r="D31" s="2">
        <v>178520</v>
      </c>
      <c r="E31" s="2">
        <v>178520</v>
      </c>
      <c r="F31" s="2">
        <v>50426.740000000005</v>
      </c>
      <c r="G31" s="3">
        <v>45838</v>
      </c>
    </row>
    <row r="32" spans="1:16" x14ac:dyDescent="0.25">
      <c r="A32" s="1">
        <v>45992</v>
      </c>
      <c r="B32" s="5">
        <v>21.241299999999999</v>
      </c>
      <c r="C32" t="s">
        <v>30</v>
      </c>
      <c r="D32" s="2">
        <v>3650.84</v>
      </c>
      <c r="E32" s="2">
        <v>3650.84</v>
      </c>
      <c r="F32" s="2">
        <v>569.26000000000022</v>
      </c>
      <c r="G32" s="3">
        <v>45777</v>
      </c>
    </row>
    <row r="33" spans="1:7" x14ac:dyDescent="0.25">
      <c r="A33" s="1">
        <v>45992</v>
      </c>
      <c r="B33" s="5">
        <v>21.2501</v>
      </c>
      <c r="C33" t="s">
        <v>36</v>
      </c>
      <c r="D33" s="2">
        <v>134976.95000000001</v>
      </c>
      <c r="E33" s="2">
        <v>134976.95000000001</v>
      </c>
      <c r="F33" s="2">
        <v>11248.570000000007</v>
      </c>
      <c r="G33" s="3">
        <v>46022</v>
      </c>
    </row>
    <row r="34" spans="1:7" x14ac:dyDescent="0.25">
      <c r="A34" s="1">
        <v>45992</v>
      </c>
      <c r="B34" s="5">
        <v>21.250599999999999</v>
      </c>
      <c r="C34" t="s">
        <v>45</v>
      </c>
      <c r="D34" s="2">
        <v>33252</v>
      </c>
      <c r="E34" s="2">
        <v>33252</v>
      </c>
      <c r="F34" s="2">
        <v>20381.02</v>
      </c>
      <c r="G34" s="3">
        <v>45869</v>
      </c>
    </row>
    <row r="35" spans="1:7" x14ac:dyDescent="0.25">
      <c r="A35" s="1">
        <v>45992</v>
      </c>
      <c r="B35" s="5">
        <v>21.250800000000002</v>
      </c>
      <c r="C35" t="s">
        <v>54</v>
      </c>
      <c r="D35" s="2">
        <v>21978</v>
      </c>
      <c r="E35" s="2">
        <v>21978</v>
      </c>
      <c r="F35" s="2">
        <v>14303.17</v>
      </c>
      <c r="G35" s="3">
        <v>45961</v>
      </c>
    </row>
    <row r="36" spans="1:7" x14ac:dyDescent="0.25">
      <c r="A36" s="1">
        <v>45992</v>
      </c>
      <c r="B36" s="5">
        <v>21.251000000000001</v>
      </c>
      <c r="C36" t="s">
        <v>48</v>
      </c>
      <c r="D36" s="2">
        <v>56895.8</v>
      </c>
      <c r="E36" s="2">
        <v>56895.8</v>
      </c>
      <c r="F36" s="2">
        <v>20919.93</v>
      </c>
      <c r="G36" s="3">
        <v>46022</v>
      </c>
    </row>
    <row r="37" spans="1:7" x14ac:dyDescent="0.25">
      <c r="A37" s="1">
        <v>45992</v>
      </c>
      <c r="B37" s="5">
        <v>21.2591</v>
      </c>
      <c r="C37" t="s">
        <v>43</v>
      </c>
      <c r="D37" s="2">
        <v>25874.2</v>
      </c>
      <c r="E37" s="2">
        <v>25874.2</v>
      </c>
      <c r="F37" s="2">
        <v>2967.010000000002</v>
      </c>
      <c r="G37" s="3">
        <v>46022</v>
      </c>
    </row>
    <row r="38" spans="1:7" x14ac:dyDescent="0.25">
      <c r="A38" s="1">
        <v>45992</v>
      </c>
      <c r="B38" s="5">
        <v>21.2592</v>
      </c>
      <c r="C38" t="s">
        <v>39</v>
      </c>
      <c r="D38" s="2">
        <v>9009.56</v>
      </c>
      <c r="E38" s="2">
        <v>9009.56</v>
      </c>
      <c r="F38" s="2">
        <v>569.17000000000007</v>
      </c>
      <c r="G38" s="3">
        <v>46022</v>
      </c>
    </row>
    <row r="39" spans="1:7" x14ac:dyDescent="0.25">
      <c r="A39" s="1">
        <v>45992</v>
      </c>
      <c r="B39" s="5">
        <v>21.2593</v>
      </c>
      <c r="C39" t="s">
        <v>49</v>
      </c>
      <c r="D39" s="2">
        <v>2034.2</v>
      </c>
      <c r="E39" s="2">
        <v>2034.2</v>
      </c>
      <c r="F39" s="2">
        <v>138.34000000000015</v>
      </c>
      <c r="G39" s="3">
        <v>46022</v>
      </c>
    </row>
    <row r="40" spans="1:7" x14ac:dyDescent="0.25">
      <c r="A40" s="1">
        <v>45992</v>
      </c>
      <c r="B40" s="5">
        <v>20.251999999999999</v>
      </c>
      <c r="C40" t="s">
        <v>31</v>
      </c>
      <c r="D40" s="2">
        <v>0</v>
      </c>
      <c r="E40" s="2"/>
      <c r="F40" s="2">
        <v>-417362.06</v>
      </c>
      <c r="G40" s="3">
        <v>46022</v>
      </c>
    </row>
    <row r="41" spans="1:7" x14ac:dyDescent="0.25">
      <c r="A41" s="1">
        <v>45992</v>
      </c>
      <c r="B41" s="5">
        <v>20.253</v>
      </c>
      <c r="C41" t="s">
        <v>32</v>
      </c>
      <c r="D41" s="2">
        <v>0</v>
      </c>
      <c r="E41" s="2"/>
      <c r="F41" s="2">
        <v>-136442.70000000001</v>
      </c>
      <c r="G41" s="3">
        <v>46022</v>
      </c>
    </row>
    <row r="42" spans="1:7" x14ac:dyDescent="0.25">
      <c r="A42" s="1">
        <v>45992</v>
      </c>
      <c r="B42" s="5">
        <v>20.254000000000001</v>
      </c>
      <c r="C42" t="s">
        <v>33</v>
      </c>
      <c r="D42" s="2">
        <v>0</v>
      </c>
      <c r="E42" s="2"/>
      <c r="F42" s="2">
        <v>-4786.46</v>
      </c>
      <c r="G42" s="3">
        <v>46022</v>
      </c>
    </row>
    <row r="43" spans="1:7" x14ac:dyDescent="0.25">
      <c r="A43" s="1">
        <v>45992</v>
      </c>
      <c r="B43" s="5">
        <v>20.254999999999999</v>
      </c>
      <c r="C43" t="s">
        <v>42</v>
      </c>
      <c r="D43" s="2">
        <v>0</v>
      </c>
      <c r="E43" s="2"/>
      <c r="F43" s="2">
        <v>-7603.98</v>
      </c>
      <c r="G43" s="3">
        <v>46022</v>
      </c>
    </row>
    <row r="44" spans="1:7" x14ac:dyDescent="0.25">
      <c r="A44" s="1">
        <v>45992</v>
      </c>
      <c r="B44" s="5">
        <v>20.256</v>
      </c>
      <c r="C44" t="s">
        <v>34</v>
      </c>
      <c r="D44" s="2">
        <v>0</v>
      </c>
      <c r="E44" s="2"/>
      <c r="F44" s="2">
        <v>-345355.21</v>
      </c>
      <c r="G44" s="3">
        <v>46022</v>
      </c>
    </row>
    <row r="45" spans="1:7" x14ac:dyDescent="0.25">
      <c r="A45" s="1">
        <v>45992</v>
      </c>
      <c r="B45" s="5">
        <v>20.257000000000001</v>
      </c>
      <c r="C45" t="s">
        <v>35</v>
      </c>
      <c r="D45" s="2">
        <v>0</v>
      </c>
      <c r="E45" s="2"/>
      <c r="F45" s="2">
        <v>-28346.720000000001</v>
      </c>
      <c r="G45" s="3">
        <v>46022</v>
      </c>
    </row>
    <row r="46" spans="1:7" x14ac:dyDescent="0.25">
      <c r="A46" s="1"/>
    </row>
    <row r="47" spans="1:7" x14ac:dyDescent="0.25">
      <c r="A47" s="1"/>
    </row>
    <row r="48" spans="1:7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1457-4F08-4C15-AB66-1D85D30B4CE7}">
  <dimension ref="A1:E227"/>
  <sheetViews>
    <sheetView workbookViewId="0">
      <selection activeCell="C14" sqref="C14"/>
    </sheetView>
  </sheetViews>
  <sheetFormatPr defaultRowHeight="15" x14ac:dyDescent="0.25"/>
  <cols>
    <col min="1" max="1" width="15.42578125" customWidth="1"/>
    <col min="2" max="2" width="9.7109375" customWidth="1"/>
    <col min="3" max="3" width="72.5703125" bestFit="1" customWidth="1"/>
    <col min="4" max="4" width="27.140625" bestFit="1" customWidth="1"/>
    <col min="5" max="5" width="26" bestFit="1" customWidth="1"/>
    <col min="7" max="7" width="14.28515625" bestFit="1" customWidth="1"/>
  </cols>
  <sheetData>
    <row r="1" spans="1:5" x14ac:dyDescent="0.25">
      <c r="A1" t="s">
        <v>0</v>
      </c>
      <c r="B1" t="s">
        <v>3</v>
      </c>
      <c r="C1" t="s">
        <v>4</v>
      </c>
      <c r="D1" t="s">
        <v>8</v>
      </c>
      <c r="E1" t="s">
        <v>9</v>
      </c>
    </row>
    <row r="2" spans="1:5" x14ac:dyDescent="0.25">
      <c r="A2" s="1">
        <f>Revenue!A2</f>
        <v>45992</v>
      </c>
      <c r="B2" s="5">
        <f>Revenue!B2</f>
        <v>21.210599999999999</v>
      </c>
      <c r="C2" t="str">
        <f>Revenue!C2</f>
        <v>Sturgeon Electric - Ashlan Ave. Corridor</v>
      </c>
      <c r="D2" s="2">
        <v>119553.54</v>
      </c>
      <c r="E2" s="2">
        <v>137609</v>
      </c>
    </row>
    <row r="3" spans="1:5" x14ac:dyDescent="0.25">
      <c r="A3" s="1">
        <f>Revenue!A3</f>
        <v>45992</v>
      </c>
      <c r="B3" s="5">
        <f>Revenue!B3</f>
        <v>21.230399999999999</v>
      </c>
      <c r="C3" t="str">
        <f>Revenue!C3</f>
        <v>City of Merced - Community Park 42</v>
      </c>
      <c r="D3" s="2">
        <v>9976795.8500000015</v>
      </c>
      <c r="E3" s="2">
        <v>9976795.8500000015</v>
      </c>
    </row>
    <row r="4" spans="1:5" x14ac:dyDescent="0.25">
      <c r="A4" s="1">
        <f>Revenue!A4</f>
        <v>45992</v>
      </c>
      <c r="B4" s="5">
        <f>Revenue!B4</f>
        <v>21.231000000000002</v>
      </c>
      <c r="C4" t="str">
        <f>Revenue!C4</f>
        <v>City of Porterville - Tule River Parkway Phase 3</v>
      </c>
      <c r="D4" s="2">
        <v>3133296.49</v>
      </c>
      <c r="E4" s="2">
        <v>3133296.49</v>
      </c>
    </row>
    <row r="5" spans="1:5" x14ac:dyDescent="0.25">
      <c r="A5" s="1">
        <f>Revenue!A5</f>
        <v>45992</v>
      </c>
      <c r="B5" s="5">
        <f>Revenue!B5</f>
        <v>21.231200000000001</v>
      </c>
      <c r="C5" t="str">
        <f>Revenue!C5</f>
        <v>City of Fresno -  Mariposa Plaza Renovation</v>
      </c>
      <c r="D5" s="2">
        <v>2662729.9500000002</v>
      </c>
      <c r="E5" s="2">
        <v>2662729.9500000002</v>
      </c>
    </row>
    <row r="6" spans="1:5" x14ac:dyDescent="0.25">
      <c r="A6" s="1">
        <f>Revenue!A6</f>
        <v>45992</v>
      </c>
      <c r="B6" s="5">
        <f>Revenue!B6</f>
        <v>21.231400000000001</v>
      </c>
      <c r="C6" t="str">
        <f>Revenue!C6</f>
        <v>G.L. Associates Bruno - Clovis VA Parking Expansion</v>
      </c>
      <c r="D6" s="2">
        <v>1184297</v>
      </c>
      <c r="E6" s="2">
        <v>1184297</v>
      </c>
    </row>
    <row r="7" spans="1:5" x14ac:dyDescent="0.25">
      <c r="A7" s="1">
        <f>Revenue!A7</f>
        <v>45992</v>
      </c>
      <c r="B7" s="5">
        <f>Revenue!B7</f>
        <v>21.232299999999999</v>
      </c>
      <c r="C7" t="str">
        <f>Revenue!C7</f>
        <v>WM Lyles - Water Treatment Plant Replacement</v>
      </c>
      <c r="D7" s="2">
        <v>1392857.82</v>
      </c>
      <c r="E7" s="2">
        <v>1392857.82</v>
      </c>
    </row>
    <row r="8" spans="1:5" x14ac:dyDescent="0.25">
      <c r="A8" s="1">
        <f>Revenue!A8</f>
        <v>45992</v>
      </c>
      <c r="B8" s="5">
        <f>Revenue!B8</f>
        <v>21.2407</v>
      </c>
      <c r="C8" t="str">
        <f>Revenue!C8</f>
        <v>City of Fresno - South Peach Park Project</v>
      </c>
      <c r="D8" s="4">
        <v>9282945.0500000007</v>
      </c>
      <c r="E8" s="4">
        <v>9282945.0500000007</v>
      </c>
    </row>
    <row r="9" spans="1:5" x14ac:dyDescent="0.25">
      <c r="A9" s="1">
        <f>Revenue!A9</f>
        <v>45992</v>
      </c>
      <c r="B9" s="5">
        <f>Revenue!B9</f>
        <v>21.2408</v>
      </c>
      <c r="C9" t="str">
        <f>Revenue!C9</f>
        <v xml:space="preserve">A-C Electric Co. - Friant I.T.S. Phase 2 </v>
      </c>
      <c r="D9" s="2">
        <v>90099.7</v>
      </c>
      <c r="E9" s="2">
        <v>90099.7</v>
      </c>
    </row>
    <row r="10" spans="1:5" x14ac:dyDescent="0.25">
      <c r="A10" s="1">
        <f>Revenue!A10</f>
        <v>45992</v>
      </c>
      <c r="B10" s="5">
        <f>Revenue!B10</f>
        <v>21.241</v>
      </c>
      <c r="C10" t="str">
        <f>Revenue!C10</f>
        <v>City of Fresno - Barstow and Bond Traffic Signal</v>
      </c>
      <c r="D10" s="2">
        <v>1068507</v>
      </c>
      <c r="E10" s="2">
        <v>1068507</v>
      </c>
    </row>
    <row r="11" spans="1:5" x14ac:dyDescent="0.25">
      <c r="A11" s="1">
        <f>Revenue!A11</f>
        <v>45992</v>
      </c>
      <c r="B11" s="5">
        <f>Revenue!B11</f>
        <v>21.241099999999999</v>
      </c>
      <c r="C11" t="str">
        <f>Revenue!C11</f>
        <v>City of Merced - Bob Hart Square Expansion</v>
      </c>
      <c r="D11" s="2">
        <v>3270630.45</v>
      </c>
      <c r="E11" s="2">
        <v>3270630.45</v>
      </c>
    </row>
    <row r="12" spans="1:5" x14ac:dyDescent="0.25">
      <c r="A12" s="1">
        <f>Revenue!A12</f>
        <v>45992</v>
      </c>
      <c r="B12" s="5">
        <f>Revenue!B12</f>
        <v>21.241199999999999</v>
      </c>
      <c r="C12" t="str">
        <f>Revenue!C12</f>
        <v>City of Merced - Main Street Directional (REBID)</v>
      </c>
      <c r="D12" s="2">
        <v>1037873</v>
      </c>
      <c r="E12" s="2">
        <v>1037873</v>
      </c>
    </row>
    <row r="13" spans="1:5" x14ac:dyDescent="0.25">
      <c r="A13" s="1">
        <f>Revenue!A13</f>
        <v>45992</v>
      </c>
      <c r="B13" s="5">
        <f>Revenue!B13</f>
        <v>21.2502</v>
      </c>
      <c r="C13" t="str">
        <f>Revenue!C13</f>
        <v>HPS Mechanical - Well 7 TCP Mitigation Project</v>
      </c>
      <c r="D13" s="2">
        <v>277999.40000000002</v>
      </c>
      <c r="E13" s="2">
        <v>277999.40000000002</v>
      </c>
    </row>
    <row r="14" spans="1:5" x14ac:dyDescent="0.25">
      <c r="A14" s="1">
        <f>Revenue!A14</f>
        <v>45992</v>
      </c>
      <c r="B14" s="5">
        <f>Revenue!B14</f>
        <v>21.250299999999999</v>
      </c>
      <c r="C14" t="str">
        <f>Revenue!C14</f>
        <v>City of Fresno - Dolores Huerta Park</v>
      </c>
      <c r="D14" s="2">
        <v>9527006.4499999993</v>
      </c>
      <c r="E14" s="2">
        <v>9527006.4499999993</v>
      </c>
    </row>
    <row r="15" spans="1:5" x14ac:dyDescent="0.25">
      <c r="A15" s="1">
        <f>Revenue!A15</f>
        <v>45992</v>
      </c>
      <c r="B15" s="5">
        <f>Revenue!B15</f>
        <v>21.250399999999999</v>
      </c>
      <c r="C15" t="str">
        <f>Revenue!C15</f>
        <v>A-C Electric Co. - Clovis Avenue Adaptive Traffic Signal Sychronization Project</v>
      </c>
      <c r="D15" s="2">
        <v>145405</v>
      </c>
      <c r="E15" s="2">
        <v>145405</v>
      </c>
    </row>
    <row r="16" spans="1:5" x14ac:dyDescent="0.25">
      <c r="A16" s="1">
        <f>Revenue!A16</f>
        <v>45992</v>
      </c>
      <c r="B16" s="5">
        <f>Revenue!B16</f>
        <v>21.250499999999999</v>
      </c>
      <c r="C16" t="str">
        <f>Revenue!C16</f>
        <v>A-C Electric Co. - Reed Avenue and Reedley College Driveway Traffic Signal</v>
      </c>
      <c r="D16" s="2">
        <v>189115</v>
      </c>
      <c r="E16" s="2">
        <v>189115</v>
      </c>
    </row>
    <row r="17" spans="1:5" x14ac:dyDescent="0.25">
      <c r="A17" s="1">
        <f>Revenue!A17</f>
        <v>45992</v>
      </c>
      <c r="B17" s="5">
        <f>Revenue!B17</f>
        <v>21.250699999999998</v>
      </c>
      <c r="C17" t="str">
        <f>Revenue!C17</f>
        <v>City of Fresno - Radio Park Renovation</v>
      </c>
      <c r="D17" s="2">
        <v>8702239.8000000007</v>
      </c>
      <c r="E17" s="2">
        <v>8702239.8000000007</v>
      </c>
    </row>
    <row r="18" spans="1:5" x14ac:dyDescent="0.25">
      <c r="A18" s="1">
        <f>Revenue!A18</f>
        <v>45992</v>
      </c>
      <c r="B18" s="5">
        <f>Revenue!B18</f>
        <v>21.250900000000001</v>
      </c>
      <c r="C18" t="str">
        <f>Revenue!C18</f>
        <v xml:space="preserve">City of Sanger - Bethel Avenue and Almond Avenue Traffic Signal Improvements </v>
      </c>
      <c r="D18" s="2">
        <v>654952</v>
      </c>
      <c r="E18" s="2">
        <v>654952</v>
      </c>
    </row>
    <row r="19" spans="1:5" x14ac:dyDescent="0.25">
      <c r="A19" s="1">
        <f>Revenue!A19</f>
        <v>45992</v>
      </c>
      <c r="B19" s="5">
        <f>Revenue!B19</f>
        <v>20.257100000000001</v>
      </c>
      <c r="C19" t="str">
        <f>Revenue!C19</f>
        <v>APC Yard Improvements - Equipment Building</v>
      </c>
      <c r="D19" s="2">
        <v>10673.67</v>
      </c>
      <c r="E19" s="2">
        <v>10673.67</v>
      </c>
    </row>
    <row r="20" spans="1:5" x14ac:dyDescent="0.25">
      <c r="A20" s="1">
        <f>Revenue!A20</f>
        <v>45992</v>
      </c>
      <c r="B20" s="5">
        <f>Revenue!B20</f>
        <v>20.257200000000001</v>
      </c>
      <c r="C20" t="str">
        <f>Revenue!C20</f>
        <v>APC Yard Improvements - Ponding Basin</v>
      </c>
      <c r="D20" s="2">
        <v>1656.39</v>
      </c>
      <c r="E20" s="2">
        <v>1656.39</v>
      </c>
    </row>
    <row r="21" spans="1:5" x14ac:dyDescent="0.25">
      <c r="A21" s="1">
        <f>Revenue!A21</f>
        <v>45992</v>
      </c>
      <c r="B21" s="5">
        <f>Revenue!B21</f>
        <v>20.257300000000001</v>
      </c>
      <c r="C21" t="str">
        <f>Revenue!C21</f>
        <v>APC Yard Improvements - Equipment Shed</v>
      </c>
      <c r="D21" s="2">
        <v>347.51</v>
      </c>
      <c r="E21" s="2">
        <v>347.51</v>
      </c>
    </row>
    <row r="22" spans="1:5" x14ac:dyDescent="0.25">
      <c r="A22" s="1">
        <f>Revenue!A22</f>
        <v>45992</v>
      </c>
      <c r="B22" s="5">
        <f>Revenue!B22</f>
        <v>20.257400000000001</v>
      </c>
      <c r="C22" t="str">
        <f>Revenue!C22</f>
        <v>APC Yard Improvements - Shop Storage</v>
      </c>
      <c r="D22" s="4">
        <v>2373.7800000000002</v>
      </c>
      <c r="E22" s="4">
        <v>2373.7800000000002</v>
      </c>
    </row>
    <row r="23" spans="1:5" x14ac:dyDescent="0.25">
      <c r="A23" s="1">
        <f>Revenue!A23</f>
        <v>45992</v>
      </c>
      <c r="B23" s="5">
        <f>Revenue!B23</f>
        <v>21.230699999999999</v>
      </c>
      <c r="C23" t="str">
        <f>Revenue!C23</f>
        <v>Madera County - Ave 25 Bridge Replacement Proj. at Ash Slough</v>
      </c>
      <c r="D23" s="4">
        <v>4329532.79</v>
      </c>
      <c r="E23" s="4">
        <v>4329532.79</v>
      </c>
    </row>
    <row r="24" spans="1:5" x14ac:dyDescent="0.25">
      <c r="A24" s="1">
        <f>Revenue!A24</f>
        <v>45992</v>
      </c>
      <c r="B24" s="5">
        <f>Revenue!B24</f>
        <v>21.231300000000001</v>
      </c>
      <c r="C24" t="str">
        <f>Revenue!C24</f>
        <v>City of Kerman - Kerman Northwest Park</v>
      </c>
      <c r="D24" s="4">
        <v>542146.44999999995</v>
      </c>
      <c r="E24" s="4">
        <v>542146.44999999995</v>
      </c>
    </row>
    <row r="25" spans="1:5" x14ac:dyDescent="0.25">
      <c r="A25" s="1">
        <f>Revenue!A25</f>
        <v>45992</v>
      </c>
      <c r="B25" s="5">
        <f>Revenue!B25</f>
        <v>21.2316</v>
      </c>
      <c r="C25" t="str">
        <f>Revenue!C25</f>
        <v>WM Lyles - Groundwater Blending &amp; Arsenic Treatment Project</v>
      </c>
      <c r="D25" s="4">
        <v>1431097.44</v>
      </c>
      <c r="E25" s="4">
        <v>1431097.44</v>
      </c>
    </row>
    <row r="26" spans="1:5" x14ac:dyDescent="0.25">
      <c r="A26" s="1">
        <f>Revenue!A26</f>
        <v>45992</v>
      </c>
      <c r="B26" s="5">
        <f>Revenue!B26</f>
        <v>21.2317</v>
      </c>
      <c r="C26" t="str">
        <f>Revenue!C26</f>
        <v>City of Fresno - Connecting the Winchell</v>
      </c>
      <c r="D26" s="4">
        <v>1559759.89</v>
      </c>
      <c r="E26" s="4">
        <v>1559759.89</v>
      </c>
    </row>
    <row r="27" spans="1:5" x14ac:dyDescent="0.25">
      <c r="A27" s="1">
        <f>Revenue!A27</f>
        <v>45992</v>
      </c>
      <c r="B27" s="5">
        <f>Revenue!B27</f>
        <v>21.232199999999999</v>
      </c>
      <c r="C27" t="str">
        <f>Revenue!C27</f>
        <v>A-C Electric Co. - Kaiser Fresno Modular MOB-Offsite</v>
      </c>
      <c r="D27" s="2">
        <v>148033.12</v>
      </c>
      <c r="E27" s="2">
        <v>148033.12</v>
      </c>
    </row>
    <row r="28" spans="1:5" x14ac:dyDescent="0.25">
      <c r="A28" s="1">
        <f>Revenue!A28</f>
        <v>45992</v>
      </c>
      <c r="B28" s="5">
        <f>Revenue!B28</f>
        <v>21.240100000000002</v>
      </c>
      <c r="C28" t="str">
        <f>Revenue!C28</f>
        <v>County of Tulare - M109 Over White River Bridge Replacement Project</v>
      </c>
      <c r="D28" s="2">
        <v>3710503.27</v>
      </c>
      <c r="E28" s="2">
        <v>3710503.27</v>
      </c>
    </row>
    <row r="29" spans="1:5" x14ac:dyDescent="0.25">
      <c r="A29" s="1">
        <f>Revenue!A29</f>
        <v>45992</v>
      </c>
      <c r="B29" s="5">
        <f>Revenue!B29</f>
        <v>21.240300000000001</v>
      </c>
      <c r="C29" t="str">
        <f>Revenue!C29</f>
        <v>City of Fresno - Woodward &amp; Roeding Tot Lots &amp; ADA Accessibility Improvements</v>
      </c>
      <c r="D29" s="2">
        <v>1662799.91</v>
      </c>
      <c r="E29" s="2">
        <v>1662799.91</v>
      </c>
    </row>
    <row r="30" spans="1:5" x14ac:dyDescent="0.25">
      <c r="A30" s="1">
        <f>Revenue!A30</f>
        <v>45992</v>
      </c>
      <c r="B30" s="5">
        <f>Revenue!B30</f>
        <v>21.240600000000001</v>
      </c>
      <c r="C30" t="str">
        <f>Revenue!C30</f>
        <v>City of Fresno - BPMP Phase II</v>
      </c>
      <c r="D30" s="2">
        <v>454068.72</v>
      </c>
      <c r="E30" s="2">
        <v>454068.72</v>
      </c>
    </row>
    <row r="31" spans="1:5" x14ac:dyDescent="0.25">
      <c r="A31" s="1">
        <f>Revenue!A31</f>
        <v>45992</v>
      </c>
      <c r="B31" s="5">
        <f>Revenue!B31</f>
        <v>21.2409</v>
      </c>
      <c r="C31" t="str">
        <f>Revenue!C31</f>
        <v>City of Merced - G Street Bridge Railing Repair</v>
      </c>
      <c r="D31" s="2">
        <v>128093.26</v>
      </c>
      <c r="E31" s="2">
        <v>128093.26</v>
      </c>
    </row>
    <row r="32" spans="1:5" x14ac:dyDescent="0.25">
      <c r="A32" s="1">
        <f>Revenue!A32</f>
        <v>45992</v>
      </c>
      <c r="B32" s="5">
        <f>Revenue!B32</f>
        <v>21.241299999999999</v>
      </c>
      <c r="C32" t="str">
        <f>Revenue!C32</f>
        <v>NESM - Amazon ADA Improvements</v>
      </c>
      <c r="D32" s="4">
        <v>3081.58</v>
      </c>
      <c r="E32" s="4">
        <v>3081.58</v>
      </c>
    </row>
    <row r="33" spans="1:5" x14ac:dyDescent="0.25">
      <c r="A33" s="1">
        <f>Revenue!A33</f>
        <v>45992</v>
      </c>
      <c r="B33" s="5">
        <f>Revenue!B33</f>
        <v>21.2501</v>
      </c>
      <c r="C33" t="str">
        <f>Revenue!C33</f>
        <v>C3 Electric - Lake and Sherwood Traffic Signal</v>
      </c>
      <c r="D33" s="2">
        <v>123728.38</v>
      </c>
      <c r="E33" s="2">
        <v>123728.38</v>
      </c>
    </row>
    <row r="34" spans="1:5" x14ac:dyDescent="0.25">
      <c r="A34" s="1">
        <f>Revenue!A34</f>
        <v>45992</v>
      </c>
      <c r="B34" s="5">
        <f>Revenue!B34</f>
        <v>21.250599999999999</v>
      </c>
      <c r="C34" t="str">
        <f>Revenue!C34</f>
        <v>Showtime Concrete, Inc. - Kaiser Permanente Cypress Charging Station</v>
      </c>
      <c r="D34" s="2">
        <v>12870.98</v>
      </c>
      <c r="E34" s="2">
        <v>12870.98</v>
      </c>
    </row>
    <row r="35" spans="1:5" x14ac:dyDescent="0.25">
      <c r="A35" s="1">
        <f>Revenue!A35</f>
        <v>45992</v>
      </c>
      <c r="B35" s="5">
        <f>Revenue!B35</f>
        <v>21.250800000000002</v>
      </c>
      <c r="C35" t="str">
        <f>Revenue!C35</f>
        <v>Showtime Concrete - Kaiser Selma Driveway Approaches</v>
      </c>
      <c r="D35" s="2">
        <v>7674.83</v>
      </c>
      <c r="E35" s="2">
        <v>7674.83</v>
      </c>
    </row>
    <row r="36" spans="1:5" x14ac:dyDescent="0.25">
      <c r="A36" s="1">
        <f>Revenue!A36</f>
        <v>45992</v>
      </c>
      <c r="B36" s="5">
        <f>Revenue!B36</f>
        <v>21.251000000000001</v>
      </c>
      <c r="C36" t="str">
        <f>Revenue!C36</f>
        <v>Mid Cal Pipeline &amp; Utilities Inc. - Craig Dr. Sewer</v>
      </c>
      <c r="D36" s="2">
        <v>35975.870000000003</v>
      </c>
      <c r="E36" s="2">
        <v>35975.870000000003</v>
      </c>
    </row>
    <row r="37" spans="1:5" x14ac:dyDescent="0.25">
      <c r="A37" s="1">
        <f>Revenue!A37</f>
        <v>45992</v>
      </c>
      <c r="B37" s="5">
        <f>Revenue!B37</f>
        <v>21.2591</v>
      </c>
      <c r="C37" t="str">
        <f>Revenue!C37</f>
        <v>LDI Intercompany L&amp;E</v>
      </c>
      <c r="D37" s="2">
        <v>22907.19</v>
      </c>
      <c r="E37" s="2">
        <v>22907.19</v>
      </c>
    </row>
    <row r="38" spans="1:5" x14ac:dyDescent="0.25">
      <c r="A38" s="1">
        <f>Revenue!A38</f>
        <v>45992</v>
      </c>
      <c r="B38" s="5">
        <f>Revenue!B38</f>
        <v>21.2592</v>
      </c>
      <c r="C38" t="str">
        <f>Revenue!C38</f>
        <v>WML Intercompany L&amp;E</v>
      </c>
      <c r="D38" s="2">
        <v>8440.39</v>
      </c>
      <c r="E38" s="2">
        <v>8440.39</v>
      </c>
    </row>
    <row r="39" spans="1:5" x14ac:dyDescent="0.25">
      <c r="A39" s="1">
        <f>Revenue!A39</f>
        <v>45992</v>
      </c>
      <c r="B39" s="5">
        <f>Revenue!B39</f>
        <v>21.2593</v>
      </c>
      <c r="C39" t="str">
        <f>Revenue!C39</f>
        <v>NESM Intercompany L&amp;E</v>
      </c>
      <c r="D39" s="2">
        <v>1895.86</v>
      </c>
      <c r="E39" s="2">
        <v>1895.86</v>
      </c>
    </row>
    <row r="40" spans="1:5" x14ac:dyDescent="0.25">
      <c r="A40" s="1">
        <f>Revenue!A40</f>
        <v>45992</v>
      </c>
      <c r="B40" s="5">
        <f>Revenue!B40</f>
        <v>20.251999999999999</v>
      </c>
      <c r="C40" t="str">
        <f>Revenue!C40</f>
        <v>APC Office Admin/Overhead</v>
      </c>
      <c r="D40" s="2">
        <v>417362.06</v>
      </c>
      <c r="E40" s="2">
        <v>417362.06</v>
      </c>
    </row>
    <row r="41" spans="1:5" x14ac:dyDescent="0.25">
      <c r="A41" s="1">
        <f>Revenue!A41</f>
        <v>45992</v>
      </c>
      <c r="B41" s="5">
        <f>Revenue!B41</f>
        <v>20.253</v>
      </c>
      <c r="C41" t="str">
        <f>Revenue!C41</f>
        <v>APC Yard/Building</v>
      </c>
      <c r="D41" s="2">
        <v>136442.70000000001</v>
      </c>
      <c r="E41" s="2">
        <v>136442.70000000001</v>
      </c>
    </row>
    <row r="42" spans="1:5" x14ac:dyDescent="0.25">
      <c r="A42" s="1">
        <f>Revenue!A42</f>
        <v>45992</v>
      </c>
      <c r="B42" s="5">
        <f>Revenue!B42</f>
        <v>20.254000000000001</v>
      </c>
      <c r="C42" t="str">
        <f>Revenue!C42</f>
        <v>APC Warranty Work</v>
      </c>
      <c r="D42" s="2">
        <v>4786.46</v>
      </c>
      <c r="E42" s="2">
        <v>4786.46</v>
      </c>
    </row>
    <row r="43" spans="1:5" x14ac:dyDescent="0.25">
      <c r="A43" s="1">
        <f>Revenue!A43</f>
        <v>45992</v>
      </c>
      <c r="B43" s="5">
        <f>Revenue!B43</f>
        <v>20.254999999999999</v>
      </c>
      <c r="C43" t="str">
        <f>Revenue!C43</f>
        <v xml:space="preserve">APC Legal </v>
      </c>
      <c r="D43" s="2">
        <v>7603.98</v>
      </c>
      <c r="E43" s="2">
        <v>7603.98</v>
      </c>
    </row>
    <row r="44" spans="1:5" x14ac:dyDescent="0.25">
      <c r="A44" s="1">
        <f>Revenue!A44</f>
        <v>45992</v>
      </c>
      <c r="B44" s="5">
        <f>Revenue!B44</f>
        <v>20.256</v>
      </c>
      <c r="C44" t="str">
        <f>Revenue!C44</f>
        <v>APC Estimating</v>
      </c>
      <c r="D44" s="2">
        <v>345355.21</v>
      </c>
      <c r="E44" s="2">
        <v>345355.21</v>
      </c>
    </row>
    <row r="45" spans="1:5" x14ac:dyDescent="0.25">
      <c r="A45" s="1">
        <f>Revenue!A45</f>
        <v>45992</v>
      </c>
      <c r="B45" s="5">
        <f>Revenue!B45</f>
        <v>20.257000000000001</v>
      </c>
      <c r="C45" t="str">
        <f>Revenue!C45</f>
        <v>APC Equipment</v>
      </c>
      <c r="D45" s="2">
        <v>28346.720000000001</v>
      </c>
      <c r="E45" s="2">
        <v>28346.720000000001</v>
      </c>
    </row>
    <row r="46" spans="1:5" x14ac:dyDescent="0.25">
      <c r="A46" s="1"/>
      <c r="D46" s="4"/>
    </row>
    <row r="47" spans="1:5" x14ac:dyDescent="0.25">
      <c r="A47" s="1"/>
      <c r="D47" s="4"/>
    </row>
    <row r="48" spans="1:5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Roberts</dc:creator>
  <cp:lastModifiedBy>Nicole Leasure</cp:lastModifiedBy>
  <dcterms:created xsi:type="dcterms:W3CDTF">2025-06-18T18:18:53Z</dcterms:created>
  <dcterms:modified xsi:type="dcterms:W3CDTF">2026-02-25T00:29:07Z</dcterms:modified>
</cp:coreProperties>
</file>